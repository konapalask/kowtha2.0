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 VARMA\Desktop\PD FORMATS\"/>
    </mc:Choice>
  </mc:AlternateContent>
  <bookViews>
    <workbookView xWindow="0" yWindow="0" windowWidth="28800" windowHeight="11130" tabRatio="601"/>
  </bookViews>
  <sheets>
    <sheet name="Company 1" sheetId="9" r:id="rId1"/>
    <sheet name="02 companies" sheetId="10" r:id="rId2"/>
  </sheets>
  <definedNames>
    <definedName name="_xlnm.Print_Area" localSheetId="0">'Company 1'!$D$1:$K$33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9" l="1"/>
  <c r="G17" i="9"/>
  <c r="G16" i="9"/>
  <c r="G15" i="9"/>
  <c r="G9" i="9"/>
  <c r="G14" i="9"/>
  <c r="G13" i="9"/>
  <c r="N9" i="9" l="1"/>
  <c r="N8" i="9"/>
  <c r="J11" i="9" l="1"/>
  <c r="K10" i="9"/>
  <c r="K11" i="9" s="1"/>
  <c r="G10" i="9" s="1"/>
  <c r="R22" i="9"/>
  <c r="U22" i="9"/>
  <c r="AA27" i="9"/>
  <c r="AA28" i="9" s="1"/>
  <c r="J19" i="9"/>
  <c r="G11" i="9" l="1"/>
  <c r="V27" i="10"/>
  <c r="N23" i="10"/>
  <c r="N22" i="10"/>
  <c r="N21" i="10"/>
  <c r="N20" i="10"/>
  <c r="N19" i="10"/>
  <c r="N18" i="10"/>
  <c r="N17" i="10"/>
  <c r="N16" i="10"/>
  <c r="N15" i="10"/>
  <c r="N14" i="10"/>
  <c r="N11" i="10"/>
  <c r="N10" i="10"/>
  <c r="N9" i="10"/>
  <c r="N8" i="10"/>
  <c r="N7" i="10"/>
  <c r="H22" i="10"/>
  <c r="H20" i="10"/>
  <c r="H21" i="10"/>
  <c r="H19" i="10"/>
  <c r="H18" i="10"/>
  <c r="H17" i="10"/>
  <c r="H16" i="10"/>
  <c r="H15" i="10"/>
  <c r="H14" i="10"/>
  <c r="H10" i="10"/>
  <c r="H9" i="10"/>
  <c r="H8" i="10"/>
  <c r="H7" i="10"/>
  <c r="M12" i="10"/>
  <c r="G11" i="10" s="1"/>
  <c r="L12" i="10"/>
  <c r="F11" i="10" s="1"/>
  <c r="L13" i="10" s="1"/>
  <c r="L24" i="10" s="1"/>
  <c r="F24" i="10" s="1"/>
  <c r="O8" i="10"/>
  <c r="I9" i="10" s="1"/>
  <c r="R29" i="10" s="1"/>
  <c r="Z27" i="10"/>
  <c r="Y27" i="10"/>
  <c r="W27" i="10"/>
  <c r="AE32" i="10"/>
  <c r="AE33" i="10" s="1"/>
  <c r="R30" i="10"/>
  <c r="I8" i="10"/>
  <c r="N10" i="9" l="1"/>
  <c r="N11" i="9"/>
  <c r="R31" i="10"/>
  <c r="N12" i="10"/>
  <c r="M13" i="10"/>
  <c r="M24" i="10" s="1"/>
  <c r="G23" i="10" s="1"/>
  <c r="H11" i="10"/>
  <c r="H12" i="10" s="1"/>
  <c r="F23" i="10"/>
  <c r="R7" i="10"/>
  <c r="O11" i="10"/>
  <c r="O12" i="10" s="1"/>
  <c r="I11" i="10" s="1"/>
  <c r="S22" i="9" l="1"/>
  <c r="N13" i="10"/>
  <c r="N24" i="10" s="1"/>
  <c r="H23" i="10"/>
  <c r="H24" i="10" s="1"/>
  <c r="G24" i="10"/>
  <c r="R10" i="10"/>
  <c r="O13" i="10"/>
  <c r="I12" i="10"/>
  <c r="O24" i="10" l="1"/>
  <c r="I24" i="10" s="1"/>
  <c r="K12" i="9" l="1"/>
  <c r="K19" i="9" s="1"/>
  <c r="G18" i="9" s="1"/>
  <c r="I23" i="10"/>
  <c r="R9" i="10" s="1"/>
  <c r="R8" i="10" s="1"/>
  <c r="N14" i="9" l="1"/>
  <c r="N13" i="9"/>
  <c r="N12" i="9" s="1"/>
  <c r="G19" i="9"/>
  <c r="R11" i="10"/>
  <c r="V22" i="9"/>
</calcChain>
</file>

<file path=xl/sharedStrings.xml><?xml version="1.0" encoding="utf-8"?>
<sst xmlns="http://schemas.openxmlformats.org/spreadsheetml/2006/main" count="153" uniqueCount="91">
  <si>
    <t>PARTICULARS</t>
  </si>
  <si>
    <t xml:space="preserve"> Estimated </t>
  </si>
  <si>
    <t>Expenditure</t>
  </si>
  <si>
    <t>INCOME</t>
  </si>
  <si>
    <t>To Opening stock</t>
  </si>
  <si>
    <t>By Sales</t>
  </si>
  <si>
    <t>By closing Stock</t>
  </si>
  <si>
    <t>To Gross Profit</t>
  </si>
  <si>
    <t>Grand Total</t>
  </si>
  <si>
    <t>To Indirect Expenses</t>
  </si>
  <si>
    <t>By Gross Profit</t>
  </si>
  <si>
    <t>To Net Profit</t>
  </si>
  <si>
    <t>Total</t>
  </si>
  <si>
    <t xml:space="preserve">purchases </t>
  </si>
  <si>
    <t>exp</t>
  </si>
  <si>
    <t>TO monthly</t>
  </si>
  <si>
    <t>Payments Monthly</t>
  </si>
  <si>
    <t>NP monthly</t>
  </si>
  <si>
    <t>GP%</t>
  </si>
  <si>
    <t>NP%</t>
  </si>
  <si>
    <t>To  Purchases</t>
  </si>
  <si>
    <t>To Other Expenses</t>
  </si>
  <si>
    <t>ESTIMATED PROFIT &amp; LOSS ACCOUNT FOR THE YEAR ENDED 31ST MARCH 2024</t>
  </si>
  <si>
    <t xml:space="preserve">M/S.SIVA KUMAR GENERAL STORE        </t>
  </si>
  <si>
    <t>prop:  MR. MOCHI.SIVA KUMAR</t>
  </si>
  <si>
    <t>Note</t>
  </si>
  <si>
    <t>To Direct cost</t>
  </si>
  <si>
    <t xml:space="preserve">By Services </t>
  </si>
  <si>
    <t>Assessed</t>
  </si>
  <si>
    <t>Balance Sheet as on 31st March 2019</t>
  </si>
  <si>
    <t>Mr. JC</t>
  </si>
  <si>
    <t>M/s. NSH</t>
  </si>
  <si>
    <t>Liability</t>
  </si>
  <si>
    <t>Audited</t>
  </si>
  <si>
    <t>Estimated</t>
  </si>
  <si>
    <t>Assets</t>
  </si>
  <si>
    <t>Capital Account</t>
  </si>
  <si>
    <t>Fixed Assets</t>
  </si>
  <si>
    <t>Loans and Advances</t>
  </si>
  <si>
    <t>Geram Chaudhary</t>
  </si>
  <si>
    <t>Unsecured Loan</t>
  </si>
  <si>
    <t>-</t>
  </si>
  <si>
    <t>Hetal Enterprises</t>
  </si>
  <si>
    <t>Secured Loan</t>
  </si>
  <si>
    <t>Mahesh Bhanda</t>
  </si>
  <si>
    <t>Sundry Creditors</t>
  </si>
  <si>
    <t>Mahadev Trading</t>
  </si>
  <si>
    <t>Provisions</t>
  </si>
  <si>
    <t>Current Assets</t>
  </si>
  <si>
    <t>Audit Payable</t>
  </si>
  <si>
    <t>Prepaid Insurance</t>
  </si>
  <si>
    <t>Accountant</t>
  </si>
  <si>
    <t>Closing Stock</t>
  </si>
  <si>
    <t>Sundry Debtors</t>
  </si>
  <si>
    <t>GST Refund</t>
  </si>
  <si>
    <t>GST Set Off</t>
  </si>
  <si>
    <t>Cash &amp; Bank Balance</t>
  </si>
  <si>
    <t>DCB Bank</t>
  </si>
  <si>
    <t>Cash in hand</t>
  </si>
  <si>
    <t>Additional Property (@70% LTV)</t>
  </si>
  <si>
    <r>
      <t>NewLoan</t>
    </r>
    <r>
      <rPr>
        <u/>
        <sz val="12"/>
        <rFont val="Cambria"/>
        <family val="1"/>
        <scheme val="major"/>
      </rPr>
      <t xml:space="preserve"> </t>
    </r>
  </si>
  <si>
    <t>Audited Income</t>
  </si>
  <si>
    <t>To Bank  Charges &amp; interest</t>
  </si>
  <si>
    <t>To Depreciation</t>
  </si>
  <si>
    <t>To Salaries</t>
  </si>
  <si>
    <t>To Rent</t>
  </si>
  <si>
    <t>To Partners Salary</t>
  </si>
  <si>
    <t>To Int On Partners</t>
  </si>
  <si>
    <t>Com</t>
  </si>
  <si>
    <t>Audited Income of company 1</t>
  </si>
  <si>
    <t>Audited Income of coampany 2</t>
  </si>
  <si>
    <t>Balance Sheet as on 31st March2024</t>
  </si>
  <si>
    <t>Total of company 1&amp; 2</t>
  </si>
  <si>
    <t xml:space="preserve">Audited </t>
  </si>
  <si>
    <t xml:space="preserve">Mrs. Diguva Savitha </t>
  </si>
  <si>
    <t xml:space="preserve">M/s. Sri Santhpshimatha Kitchen ware </t>
  </si>
  <si>
    <t xml:space="preserve"> To Purchases </t>
  </si>
  <si>
    <t xml:space="preserve">To Travelling Charges </t>
  </si>
  <si>
    <t xml:space="preserve">To Other Expenses   </t>
  </si>
  <si>
    <t xml:space="preserve">SALES </t>
  </si>
  <si>
    <t>PURCHASES</t>
  </si>
  <si>
    <t>GP</t>
  </si>
  <si>
    <t>GP MARGIN</t>
  </si>
  <si>
    <t>TOTAL PAYMENTS</t>
  </si>
  <si>
    <t>NET PROFIT</t>
  </si>
  <si>
    <t>NP MARGIN</t>
  </si>
  <si>
    <t xml:space="preserve">To Electricity  </t>
  </si>
  <si>
    <t>Estimated Profit &amp; Loss Account for the Year Ended 31st March 2026</t>
  </si>
  <si>
    <t xml:space="preserve">To Salaries </t>
  </si>
  <si>
    <t>M/s. XXX</t>
  </si>
  <si>
    <t>Partners : Mrs.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</si>
</sst>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7">
    <font>
      <sz val="10"/>
      <name val="Arial"/>
      <charset val="134"/>
    </font>
    <font>
      <b/>
      <sz val="12"/>
      <name val="Cambria"/>
      <family val="1"/>
      <scheme val="major"/>
    </font>
    <font>
      <b/>
      <u/>
      <sz val="12"/>
      <name val="Cambria"/>
      <family val="1"/>
      <scheme val="major"/>
    </font>
    <font>
      <sz val="12"/>
      <name val="Cambria"/>
      <family val="1"/>
      <scheme val="major"/>
    </font>
    <font>
      <b/>
      <sz val="15"/>
      <color theme="1"/>
      <name val="Verdana"/>
      <family val="2"/>
    </font>
    <font>
      <sz val="10"/>
      <name val="Arial"/>
      <family val="2"/>
    </font>
    <font>
      <u/>
      <sz val="1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76">
    <xf numFmtId="0" fontId="0" fillId="0" borderId="0" xfId="0"/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1" applyNumberFormat="1" applyFont="1" applyFill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/>
    </xf>
    <xf numFmtId="164" fontId="2" fillId="0" borderId="3" xfId="0" applyNumberFormat="1" applyFont="1" applyBorder="1"/>
    <xf numFmtId="164" fontId="3" fillId="0" borderId="3" xfId="0" applyNumberFormat="1" applyFont="1" applyBorder="1"/>
    <xf numFmtId="164" fontId="2" fillId="0" borderId="4" xfId="0" applyNumberFormat="1" applyFont="1" applyBorder="1" applyAlignment="1">
      <alignment horizontal="justify"/>
    </xf>
    <xf numFmtId="164" fontId="3" fillId="0" borderId="5" xfId="0" applyNumberFormat="1" applyFont="1" applyBorder="1"/>
    <xf numFmtId="43" fontId="3" fillId="0" borderId="3" xfId="0" applyNumberFormat="1" applyFont="1" applyBorder="1"/>
    <xf numFmtId="164" fontId="3" fillId="0" borderId="6" xfId="0" applyNumberFormat="1" applyFont="1" applyBorder="1" applyAlignment="1">
      <alignment horizontal="justify"/>
    </xf>
    <xf numFmtId="166" fontId="1" fillId="0" borderId="1" xfId="0" applyNumberFormat="1" applyFont="1" applyBorder="1"/>
    <xf numFmtId="165" fontId="3" fillId="0" borderId="3" xfId="1" applyFont="1" applyFill="1" applyBorder="1"/>
    <xf numFmtId="165" fontId="3" fillId="0" borderId="3" xfId="1" applyFont="1" applyFill="1" applyBorder="1" applyAlignment="1">
      <alignment horizontal="right"/>
    </xf>
    <xf numFmtId="164" fontId="3" fillId="0" borderId="7" xfId="0" applyNumberFormat="1" applyFont="1" applyBorder="1"/>
    <xf numFmtId="165" fontId="1" fillId="0" borderId="1" xfId="0" applyNumberFormat="1" applyFont="1" applyBorder="1"/>
    <xf numFmtId="164" fontId="1" fillId="0" borderId="2" xfId="0" applyNumberFormat="1" applyFont="1" applyBorder="1"/>
    <xf numFmtId="0" fontId="4" fillId="0" borderId="0" xfId="0" applyFont="1"/>
    <xf numFmtId="166" fontId="3" fillId="0" borderId="0" xfId="0" applyNumberFormat="1" applyFont="1"/>
    <xf numFmtId="164" fontId="3" fillId="0" borderId="0" xfId="0" applyNumberFormat="1" applyFont="1"/>
    <xf numFmtId="164" fontId="3" fillId="0" borderId="0" xfId="1" applyNumberFormat="1" applyFont="1" applyFill="1" applyBorder="1"/>
    <xf numFmtId="0" fontId="4" fillId="0" borderId="0" xfId="0" applyFont="1" applyAlignment="1">
      <alignment horizontal="center"/>
    </xf>
    <xf numFmtId="166" fontId="3" fillId="0" borderId="5" xfId="0" applyNumberFormat="1" applyFont="1" applyBorder="1" applyAlignment="1">
      <alignment horizontal="right"/>
    </xf>
    <xf numFmtId="165" fontId="0" fillId="0" borderId="0" xfId="0" applyNumberFormat="1"/>
    <xf numFmtId="166" fontId="3" fillId="0" borderId="5" xfId="0" applyNumberFormat="1" applyFont="1" applyBorder="1"/>
    <xf numFmtId="166" fontId="3" fillId="0" borderId="7" xfId="0" applyNumberFormat="1" applyFont="1" applyBorder="1"/>
    <xf numFmtId="43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3" fillId="0" borderId="7" xfId="0" applyNumberFormat="1" applyFont="1" applyBorder="1"/>
    <xf numFmtId="164" fontId="3" fillId="0" borderId="4" xfId="0" applyNumberFormat="1" applyFont="1" applyBorder="1" applyAlignment="1">
      <alignment horizontal="left"/>
    </xf>
    <xf numFmtId="164" fontId="1" fillId="0" borderId="1" xfId="0" applyNumberFormat="1" applyFont="1" applyBorder="1"/>
    <xf numFmtId="164" fontId="3" fillId="0" borderId="8" xfId="0" applyNumberFormat="1" applyFont="1" applyBorder="1" applyAlignment="1">
      <alignment horizontal="justify"/>
    </xf>
    <xf numFmtId="166" fontId="3" fillId="0" borderId="7" xfId="0" applyNumberFormat="1" applyFont="1" applyBorder="1" applyAlignment="1">
      <alignment horizontal="right"/>
    </xf>
    <xf numFmtId="164" fontId="1" fillId="0" borderId="9" xfId="0" applyNumberFormat="1" applyFont="1" applyBorder="1"/>
    <xf numFmtId="0" fontId="5" fillId="0" borderId="10" xfId="0" applyFont="1" applyBorder="1"/>
    <xf numFmtId="165" fontId="0" fillId="0" borderId="10" xfId="0" applyNumberFormat="1" applyBorder="1"/>
    <xf numFmtId="165" fontId="5" fillId="0" borderId="10" xfId="0" applyNumberFormat="1" applyFont="1" applyBorder="1"/>
    <xf numFmtId="43" fontId="0" fillId="0" borderId="10" xfId="0" applyNumberFormat="1" applyBorder="1"/>
    <xf numFmtId="0" fontId="0" fillId="0" borderId="10" xfId="0" applyBorder="1"/>
    <xf numFmtId="164" fontId="1" fillId="0" borderId="11" xfId="0" applyNumberFormat="1" applyFont="1" applyBorder="1"/>
    <xf numFmtId="164" fontId="3" fillId="0" borderId="12" xfId="0" applyNumberFormat="1" applyFont="1" applyBorder="1"/>
    <xf numFmtId="165" fontId="3" fillId="0" borderId="13" xfId="1" applyFont="1" applyFill="1" applyBorder="1"/>
    <xf numFmtId="43" fontId="3" fillId="0" borderId="5" xfId="0" applyNumberFormat="1" applyFont="1" applyBorder="1"/>
    <xf numFmtId="43" fontId="3" fillId="0" borderId="14" xfId="0" applyNumberFormat="1" applyFont="1" applyBorder="1"/>
    <xf numFmtId="0" fontId="0" fillId="0" borderId="15" xfId="0" applyBorder="1"/>
    <xf numFmtId="164" fontId="1" fillId="0" borderId="16" xfId="0" applyNumberFormat="1" applyFont="1" applyBorder="1"/>
    <xf numFmtId="164" fontId="3" fillId="0" borderId="17" xfId="0" applyNumberFormat="1" applyFont="1" applyBorder="1"/>
    <xf numFmtId="43" fontId="3" fillId="0" borderId="17" xfId="0" applyNumberFormat="1" applyFont="1" applyBorder="1"/>
    <xf numFmtId="164" fontId="3" fillId="0" borderId="11" xfId="0" applyNumberFormat="1" applyFont="1" applyBorder="1"/>
    <xf numFmtId="0" fontId="3" fillId="0" borderId="18" xfId="0" applyFont="1" applyBorder="1" applyAlignment="1">
      <alignment vertical="top" wrapText="1"/>
    </xf>
    <xf numFmtId="3" fontId="3" fillId="0" borderId="19" xfId="0" applyNumberFormat="1" applyFont="1" applyBorder="1" applyAlignment="1">
      <alignment horizontal="right" vertical="top" wrapText="1"/>
    </xf>
    <xf numFmtId="0" fontId="1" fillId="0" borderId="19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3" fillId="0" borderId="19" xfId="0" applyFont="1" applyBorder="1" applyAlignment="1">
      <alignment horizontal="right" vertical="top" wrapText="1"/>
    </xf>
    <xf numFmtId="0" fontId="2" fillId="0" borderId="18" xfId="0" applyFont="1" applyBorder="1" applyAlignment="1">
      <alignment vertical="top" wrapText="1"/>
    </xf>
    <xf numFmtId="3" fontId="1" fillId="0" borderId="19" xfId="0" applyNumberFormat="1" applyFont="1" applyBorder="1" applyAlignment="1">
      <alignment horizontal="right" vertical="top" wrapText="1"/>
    </xf>
    <xf numFmtId="43" fontId="3" fillId="0" borderId="7" xfId="0" applyNumberFormat="1" applyFont="1" applyBorder="1"/>
    <xf numFmtId="0" fontId="5" fillId="0" borderId="0" xfId="0" applyFont="1"/>
    <xf numFmtId="164" fontId="1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/>
    <xf numFmtId="43" fontId="1" fillId="0" borderId="1" xfId="0" applyNumberFormat="1" applyFont="1" applyBorder="1"/>
    <xf numFmtId="43" fontId="3" fillId="0" borderId="12" xfId="0" applyNumberFormat="1" applyFont="1" applyBorder="1"/>
    <xf numFmtId="43" fontId="1" fillId="0" borderId="16" xfId="0" applyNumberFormat="1" applyFont="1" applyBorder="1"/>
    <xf numFmtId="4" fontId="3" fillId="0" borderId="12" xfId="0" applyNumberFormat="1" applyFont="1" applyBorder="1"/>
    <xf numFmtId="4" fontId="3" fillId="0" borderId="3" xfId="1" applyNumberFormat="1" applyFont="1" applyFill="1" applyBorder="1"/>
    <xf numFmtId="4" fontId="3" fillId="0" borderId="3" xfId="0" applyNumberFormat="1" applyFont="1" applyBorder="1"/>
    <xf numFmtId="4" fontId="3" fillId="0" borderId="7" xfId="0" applyNumberFormat="1" applyFont="1" applyBorder="1"/>
    <xf numFmtId="3" fontId="1" fillId="0" borderId="16" xfId="0" applyNumberFormat="1" applyFont="1" applyBorder="1"/>
    <xf numFmtId="166" fontId="0" fillId="0" borderId="0" xfId="0" applyNumberFormat="1"/>
    <xf numFmtId="43" fontId="5" fillId="0" borderId="10" xfId="0" applyNumberFormat="1" applyFont="1" applyBorder="1"/>
    <xf numFmtId="0" fontId="5" fillId="0" borderId="10" xfId="0" applyFont="1" applyFill="1" applyBorder="1"/>
    <xf numFmtId="165" fontId="3" fillId="0" borderId="17" xfId="1" applyFont="1" applyFill="1" applyBorder="1" applyAlignment="1">
      <alignment horizontal="right"/>
    </xf>
    <xf numFmtId="164" fontId="1" fillId="0" borderId="2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178075</xdr:colOff>
      <xdr:row>26</xdr:row>
      <xdr:rowOff>30646</xdr:rowOff>
    </xdr:from>
    <xdr:to>
      <xdr:col>17</xdr:col>
      <xdr:colOff>1251777</xdr:colOff>
      <xdr:row>39</xdr:row>
      <xdr:rowOff>147382</xdr:rowOff>
    </xdr:to>
    <xdr:pic>
      <xdr:nvPicPr>
        <xdr:cNvPr id="2" name="Picture 1" descr="SIR SIGN NEW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9800" y="7393471"/>
          <a:ext cx="3026327" cy="2314741"/>
        </a:xfrm>
        <a:prstGeom prst="rect">
          <a:avLst/>
        </a:prstGeom>
      </xdr:spPr>
    </xdr:pic>
    <xdr:clientData/>
  </xdr:twoCellAnchor>
  <xdr:twoCellAnchor editAs="oneCell">
    <xdr:from>
      <xdr:col>3</xdr:col>
      <xdr:colOff>56030</xdr:colOff>
      <xdr:row>19</xdr:row>
      <xdr:rowOff>33618</xdr:rowOff>
    </xdr:from>
    <xdr:to>
      <xdr:col>5</xdr:col>
      <xdr:colOff>257735</xdr:colOff>
      <xdr:row>27</xdr:row>
      <xdr:rowOff>20170</xdr:rowOff>
    </xdr:to>
    <xdr:pic>
      <xdr:nvPicPr>
        <xdr:cNvPr id="3" name="Picture 2" descr="SIR SIGN NEW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71383" y="4078942"/>
          <a:ext cx="2622176" cy="2059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244750</xdr:colOff>
      <xdr:row>31</xdr:row>
      <xdr:rowOff>11596</xdr:rowOff>
    </xdr:from>
    <xdr:to>
      <xdr:col>21</xdr:col>
      <xdr:colOff>962025</xdr:colOff>
      <xdr:row>44</xdr:row>
      <xdr:rowOff>87962</xdr:rowOff>
    </xdr:to>
    <xdr:pic>
      <xdr:nvPicPr>
        <xdr:cNvPr id="2" name="Picture 1" descr="SIR SIGN NEW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90350" y="7250596"/>
          <a:ext cx="2669900" cy="2314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A29"/>
  <sheetViews>
    <sheetView tabSelected="1" view="pageBreakPreview" topLeftCell="A16" zoomScaleSheetLayoutView="100" workbookViewId="0">
      <selection activeCell="G29" sqref="G29"/>
    </sheetView>
  </sheetViews>
  <sheetFormatPr defaultColWidth="9" defaultRowHeight="12.75"/>
  <cols>
    <col min="3" max="3" width="9.140625" customWidth="1"/>
    <col min="4" max="4" width="28.28515625" customWidth="1"/>
    <col min="5" max="5" width="8.140625" bestFit="1" customWidth="1"/>
    <col min="6" max="6" width="20.42578125" bestFit="1" customWidth="1"/>
    <col min="7" max="7" width="23.42578125" bestFit="1" customWidth="1"/>
    <col min="8" max="8" width="18.5703125" bestFit="1" customWidth="1"/>
    <col min="9" max="9" width="8.140625" bestFit="1" customWidth="1"/>
    <col min="10" max="10" width="20.42578125" bestFit="1" customWidth="1"/>
    <col min="11" max="11" width="24.7109375" customWidth="1"/>
    <col min="12" max="12" width="15.5703125" customWidth="1"/>
    <col min="13" max="13" width="21.140625" customWidth="1"/>
    <col min="14" max="14" width="18.7109375" customWidth="1"/>
    <col min="15" max="15" width="13.28515625" customWidth="1"/>
    <col min="17" max="17" width="29.28515625" customWidth="1"/>
    <col min="18" max="18" width="20.28515625" customWidth="1"/>
    <col min="19" max="19" width="20.7109375" customWidth="1"/>
    <col min="20" max="20" width="29" customWidth="1"/>
    <col min="21" max="21" width="21.140625" customWidth="1"/>
    <col min="22" max="22" width="25.140625" customWidth="1"/>
  </cols>
  <sheetData>
    <row r="2" spans="4:22" ht="15.75">
      <c r="D2" s="75" t="s">
        <v>89</v>
      </c>
      <c r="E2" s="75"/>
      <c r="F2" s="75"/>
      <c r="G2" s="75"/>
      <c r="H2" s="75"/>
      <c r="I2" s="75"/>
      <c r="J2" s="75"/>
      <c r="K2" s="75"/>
    </row>
    <row r="3" spans="4:22" ht="15.75">
      <c r="D3" s="75" t="s">
        <v>90</v>
      </c>
      <c r="E3" s="75"/>
      <c r="F3" s="75"/>
      <c r="G3" s="75"/>
      <c r="H3" s="75"/>
      <c r="I3" s="75"/>
      <c r="J3" s="75"/>
      <c r="K3" s="75"/>
      <c r="Q3" s="75" t="s">
        <v>71</v>
      </c>
      <c r="R3" s="75"/>
      <c r="S3" s="75"/>
      <c r="T3" s="75"/>
      <c r="U3" s="75"/>
      <c r="V3" s="75"/>
    </row>
    <row r="4" spans="4:22" ht="15.75">
      <c r="D4" s="75" t="s">
        <v>87</v>
      </c>
      <c r="E4" s="75"/>
      <c r="F4" s="75"/>
      <c r="G4" s="75"/>
      <c r="H4" s="75"/>
      <c r="I4" s="75"/>
      <c r="J4" s="75"/>
      <c r="K4" s="75"/>
      <c r="Q4" s="75" t="s">
        <v>74</v>
      </c>
      <c r="R4" s="75"/>
      <c r="S4" s="75"/>
      <c r="T4" s="75"/>
      <c r="U4" s="75"/>
      <c r="V4" s="75"/>
    </row>
    <row r="5" spans="4:22" ht="14.25" customHeight="1" thickBot="1">
      <c r="D5" s="1"/>
      <c r="E5" s="1"/>
      <c r="F5" s="1"/>
      <c r="G5" s="1"/>
      <c r="H5" s="1"/>
      <c r="I5" s="1"/>
      <c r="J5" s="1"/>
      <c r="K5" s="1"/>
      <c r="Q5" s="74" t="s">
        <v>75</v>
      </c>
      <c r="R5" s="74"/>
      <c r="S5" s="74"/>
      <c r="T5" s="74"/>
      <c r="U5" s="74"/>
      <c r="V5" s="74"/>
    </row>
    <row r="6" spans="4:22" ht="44.25" customHeight="1" thickBot="1">
      <c r="D6" s="2" t="s">
        <v>0</v>
      </c>
      <c r="E6" s="2" t="s">
        <v>25</v>
      </c>
      <c r="F6" s="2" t="s">
        <v>61</v>
      </c>
      <c r="G6" s="3" t="s">
        <v>28</v>
      </c>
      <c r="H6" s="4" t="s">
        <v>0</v>
      </c>
      <c r="I6" s="2" t="s">
        <v>25</v>
      </c>
      <c r="J6" s="2" t="s">
        <v>61</v>
      </c>
      <c r="K6" s="3" t="s">
        <v>1</v>
      </c>
      <c r="Q6" s="2" t="s">
        <v>32</v>
      </c>
      <c r="R6" s="2" t="s">
        <v>33</v>
      </c>
      <c r="S6" s="2" t="s">
        <v>34</v>
      </c>
      <c r="T6" s="2" t="s">
        <v>35</v>
      </c>
      <c r="U6" s="2" t="s">
        <v>33</v>
      </c>
      <c r="V6" s="2" t="s">
        <v>34</v>
      </c>
    </row>
    <row r="7" spans="4:22" ht="16.5" thickBot="1">
      <c r="D7" s="5" t="s">
        <v>2</v>
      </c>
      <c r="E7" s="5"/>
      <c r="F7" s="5"/>
      <c r="G7" s="6"/>
      <c r="H7" s="7" t="s">
        <v>3</v>
      </c>
      <c r="I7" s="5"/>
      <c r="J7" s="5"/>
      <c r="K7" s="6"/>
      <c r="N7" s="70"/>
      <c r="Q7" s="50" t="s">
        <v>36</v>
      </c>
      <c r="R7" s="51"/>
      <c r="S7" s="51"/>
      <c r="T7" s="52" t="s">
        <v>37</v>
      </c>
      <c r="U7" s="51"/>
      <c r="V7" s="51"/>
    </row>
    <row r="8" spans="4:22" ht="15.75" customHeight="1" thickBot="1">
      <c r="D8" s="8" t="s">
        <v>4</v>
      </c>
      <c r="E8" s="6"/>
      <c r="F8" s="9"/>
      <c r="G8" s="9">
        <v>5000000</v>
      </c>
      <c r="H8" s="10" t="s">
        <v>5</v>
      </c>
      <c r="I8" s="6"/>
      <c r="J8" s="9"/>
      <c r="K8" s="22">
        <f>1500000*12</f>
        <v>18000000</v>
      </c>
      <c r="L8" s="23"/>
      <c r="M8" s="71" t="s">
        <v>79</v>
      </c>
      <c r="N8" s="36">
        <f>(K8+K9)/12</f>
        <v>1500000</v>
      </c>
      <c r="Q8" s="50"/>
      <c r="R8" s="53"/>
      <c r="S8" s="53"/>
      <c r="T8" s="52" t="s">
        <v>38</v>
      </c>
      <c r="U8" s="53"/>
      <c r="V8" s="53"/>
    </row>
    <row r="9" spans="4:22" ht="16.5" customHeight="1" thickBot="1">
      <c r="D9" s="8" t="s">
        <v>76</v>
      </c>
      <c r="E9" s="6"/>
      <c r="F9" s="9"/>
      <c r="G9" s="9">
        <f>+K8*0.75</f>
        <v>13500000</v>
      </c>
      <c r="H9" s="10" t="s">
        <v>27</v>
      </c>
      <c r="I9" s="6"/>
      <c r="J9" s="9"/>
      <c r="K9" s="24"/>
      <c r="M9" s="35" t="s">
        <v>80</v>
      </c>
      <c r="N9" s="37">
        <f>G9/12</f>
        <v>1125000</v>
      </c>
      <c r="Q9" s="50"/>
      <c r="R9" s="53"/>
      <c r="S9" s="53"/>
      <c r="T9" s="53" t="s">
        <v>39</v>
      </c>
      <c r="U9" s="51"/>
      <c r="V9" s="51"/>
    </row>
    <row r="10" spans="4:22" ht="16.5" customHeight="1" thickBot="1">
      <c r="D10" s="14" t="s">
        <v>7</v>
      </c>
      <c r="E10" s="14"/>
      <c r="F10" s="58"/>
      <c r="G10" s="29">
        <f>K11-SUM(G8:G9)</f>
        <v>4500000</v>
      </c>
      <c r="H10" s="10" t="s">
        <v>6</v>
      </c>
      <c r="I10" s="14"/>
      <c r="J10" s="58"/>
      <c r="K10" s="24">
        <f>G8</f>
        <v>5000000</v>
      </c>
      <c r="M10" s="35" t="s">
        <v>81</v>
      </c>
      <c r="N10" s="36">
        <f>G10/12</f>
        <v>375000</v>
      </c>
      <c r="Q10" s="54" t="s">
        <v>45</v>
      </c>
      <c r="R10" s="51"/>
      <c r="S10" s="51"/>
      <c r="T10" s="53" t="s">
        <v>46</v>
      </c>
      <c r="U10" s="51"/>
      <c r="V10" s="51"/>
    </row>
    <row r="11" spans="4:22" ht="16.5" customHeight="1" thickBot="1">
      <c r="D11" s="31" t="s">
        <v>8</v>
      </c>
      <c r="E11" s="31"/>
      <c r="F11" s="62"/>
      <c r="G11" s="11">
        <f>SUM(G8:G10)</f>
        <v>23000000</v>
      </c>
      <c r="H11" s="16" t="s">
        <v>8</v>
      </c>
      <c r="I11" s="31"/>
      <c r="J11" s="62">
        <f>SUM(J8:J10)</f>
        <v>0</v>
      </c>
      <c r="K11" s="11">
        <f>SUM(K8:K10)</f>
        <v>23000000</v>
      </c>
      <c r="M11" s="35" t="s">
        <v>82</v>
      </c>
      <c r="N11" s="36">
        <f>G10/K8</f>
        <v>0.25</v>
      </c>
      <c r="Q11" s="54" t="s">
        <v>47</v>
      </c>
      <c r="R11" s="53"/>
      <c r="S11" s="53"/>
      <c r="T11" s="52" t="s">
        <v>48</v>
      </c>
      <c r="U11" s="53"/>
      <c r="V11" s="53"/>
    </row>
    <row r="12" spans="4:22" ht="16.5" customHeight="1" thickBot="1">
      <c r="D12" s="40" t="s">
        <v>9</v>
      </c>
      <c r="E12" s="40"/>
      <c r="F12" s="65"/>
      <c r="G12" s="42"/>
      <c r="H12" s="30" t="s">
        <v>10</v>
      </c>
      <c r="I12" s="49"/>
      <c r="J12" s="63"/>
      <c r="K12" s="13">
        <f>+G10</f>
        <v>4500000</v>
      </c>
      <c r="M12" s="35" t="s">
        <v>83</v>
      </c>
      <c r="N12" s="36">
        <f>N8-N13</f>
        <v>1370000</v>
      </c>
      <c r="Q12" s="50" t="s">
        <v>49</v>
      </c>
      <c r="R12" s="51"/>
      <c r="S12" s="51"/>
      <c r="T12" s="53" t="s">
        <v>50</v>
      </c>
      <c r="U12" s="51"/>
      <c r="V12" s="51"/>
    </row>
    <row r="13" spans="4:22" ht="16.5" thickBot="1">
      <c r="D13" s="41" t="s">
        <v>86</v>
      </c>
      <c r="E13" s="41"/>
      <c r="F13" s="65"/>
      <c r="G13" s="66">
        <f>5000*12</f>
        <v>60000</v>
      </c>
      <c r="H13" s="30"/>
      <c r="I13" s="49"/>
      <c r="J13" s="63"/>
      <c r="K13" s="73"/>
      <c r="M13" s="72" t="s">
        <v>84</v>
      </c>
      <c r="N13" s="38">
        <f>G18/12</f>
        <v>130000</v>
      </c>
      <c r="Q13" s="50" t="s">
        <v>51</v>
      </c>
      <c r="R13" s="51"/>
      <c r="S13" s="51"/>
      <c r="T13" s="53" t="s">
        <v>52</v>
      </c>
      <c r="U13" s="51"/>
      <c r="V13" s="51"/>
    </row>
    <row r="14" spans="4:22" ht="16.5" thickBot="1">
      <c r="D14" s="41" t="s">
        <v>65</v>
      </c>
      <c r="E14" s="41"/>
      <c r="F14" s="65"/>
      <c r="G14" s="66">
        <f>140000*12</f>
        <v>1680000</v>
      </c>
      <c r="H14" s="30"/>
      <c r="I14" s="49"/>
      <c r="J14" s="63"/>
      <c r="K14" s="73"/>
      <c r="M14" s="72" t="s">
        <v>85</v>
      </c>
      <c r="N14" s="38">
        <f>G18/(K8+K9)</f>
        <v>8.666666666666667E-2</v>
      </c>
      <c r="Q14" s="50"/>
      <c r="R14" s="53"/>
      <c r="S14" s="53"/>
      <c r="T14" s="53" t="s">
        <v>53</v>
      </c>
      <c r="U14" s="51"/>
      <c r="V14" s="51"/>
    </row>
    <row r="15" spans="4:22" ht="16.5" thickBot="1">
      <c r="D15" s="41" t="s">
        <v>88</v>
      </c>
      <c r="E15" s="41"/>
      <c r="F15" s="65"/>
      <c r="G15" s="66">
        <f>75000*12</f>
        <v>900000</v>
      </c>
      <c r="H15" s="30"/>
      <c r="I15" s="49"/>
      <c r="J15" s="63"/>
      <c r="K15" s="73"/>
      <c r="Q15" s="56" t="s">
        <v>60</v>
      </c>
      <c r="R15" s="55"/>
      <c r="S15" s="51"/>
      <c r="T15" s="53" t="s">
        <v>54</v>
      </c>
      <c r="U15" s="51"/>
      <c r="V15" s="51"/>
    </row>
    <row r="16" spans="4:22" ht="16.5" thickBot="1">
      <c r="D16" s="41" t="s">
        <v>77</v>
      </c>
      <c r="E16" s="41"/>
      <c r="F16" s="65"/>
      <c r="G16" s="67">
        <f>15000*12</f>
        <v>180000</v>
      </c>
      <c r="H16" s="10"/>
      <c r="I16" s="49"/>
      <c r="J16" s="63"/>
      <c r="K16" s="25"/>
      <c r="Q16" s="50"/>
      <c r="R16" s="53"/>
      <c r="S16" s="53"/>
      <c r="T16" s="53" t="s">
        <v>55</v>
      </c>
      <c r="U16" s="51"/>
      <c r="V16" s="51"/>
    </row>
    <row r="17" spans="4:27" ht="16.5" thickBot="1">
      <c r="D17" s="41" t="s">
        <v>78</v>
      </c>
      <c r="E17" s="41"/>
      <c r="F17" s="65"/>
      <c r="G17" s="68">
        <f>10000*12</f>
        <v>120000</v>
      </c>
      <c r="H17" s="10"/>
      <c r="I17" s="49"/>
      <c r="J17" s="63"/>
      <c r="K17" s="25"/>
      <c r="Q17" s="50"/>
      <c r="R17" s="53"/>
      <c r="S17" s="53"/>
      <c r="T17" s="53" t="s">
        <v>57</v>
      </c>
      <c r="U17" s="51"/>
      <c r="V17" s="51"/>
    </row>
    <row r="18" spans="4:27" ht="16.5" thickBot="1">
      <c r="D18" s="41" t="s">
        <v>11</v>
      </c>
      <c r="E18" s="41"/>
      <c r="F18" s="65"/>
      <c r="G18" s="44">
        <f>K19-SUM(G13:G17)</f>
        <v>1560000</v>
      </c>
      <c r="H18" s="32"/>
      <c r="I18" s="49"/>
      <c r="J18" s="63"/>
      <c r="K18" s="33"/>
      <c r="Q18" s="50"/>
      <c r="R18" s="53"/>
      <c r="S18" s="53"/>
      <c r="T18" s="53" t="s">
        <v>58</v>
      </c>
      <c r="U18" s="51"/>
      <c r="V18" s="51"/>
    </row>
    <row r="19" spans="4:27" ht="16.5" thickBot="1">
      <c r="D19" s="34" t="s">
        <v>12</v>
      </c>
      <c r="E19" s="46"/>
      <c r="F19" s="69" t="s">
        <v>41</v>
      </c>
      <c r="G19" s="15">
        <f>K19</f>
        <v>4500000</v>
      </c>
      <c r="H19" s="16"/>
      <c r="I19" s="46"/>
      <c r="J19" s="64">
        <f>J12</f>
        <v>0</v>
      </c>
      <c r="K19" s="15">
        <f>SUM(K12:K18)</f>
        <v>4500000</v>
      </c>
      <c r="Q19" s="50"/>
      <c r="R19" s="53"/>
      <c r="S19" s="53"/>
      <c r="T19" s="53"/>
      <c r="U19" s="53"/>
      <c r="V19" s="53"/>
    </row>
    <row r="20" spans="4:27" ht="19.5" customHeight="1" thickBot="1">
      <c r="D20" s="27"/>
      <c r="E20" s="27"/>
      <c r="F20" s="27"/>
      <c r="G20" s="28"/>
      <c r="H20" s="27"/>
      <c r="I20" s="27"/>
      <c r="J20" s="27"/>
      <c r="K20" s="28"/>
      <c r="Q20" s="50"/>
      <c r="R20" s="53"/>
      <c r="S20" s="53"/>
      <c r="T20" s="53" t="s">
        <v>59</v>
      </c>
      <c r="U20" s="55"/>
      <c r="V20" s="51"/>
    </row>
    <row r="21" spans="4:27" ht="21" customHeight="1" thickBot="1">
      <c r="D21" s="17"/>
      <c r="E21" s="17"/>
      <c r="F21" s="17"/>
      <c r="G21" s="18"/>
      <c r="H21" s="18"/>
      <c r="I21" s="17"/>
      <c r="J21" s="17"/>
      <c r="K21" s="19"/>
      <c r="N21" s="23"/>
      <c r="Q21" s="50"/>
      <c r="R21" s="53"/>
      <c r="S21" s="53"/>
      <c r="T21" s="53"/>
      <c r="U21" s="53"/>
      <c r="V21" s="53"/>
    </row>
    <row r="22" spans="4:27" ht="21" thickBot="1">
      <c r="D22" s="17"/>
      <c r="E22" s="17"/>
      <c r="F22" s="17"/>
      <c r="G22" s="20"/>
      <c r="H22" s="19"/>
      <c r="I22" s="17"/>
      <c r="J22" s="17"/>
      <c r="K22" s="19"/>
      <c r="N22" s="23"/>
      <c r="Q22" s="54" t="s">
        <v>12</v>
      </c>
      <c r="R22" s="57">
        <f>SUM(R7:R21)</f>
        <v>0</v>
      </c>
      <c r="S22" s="57">
        <f>SUM(S7:S21)</f>
        <v>0</v>
      </c>
      <c r="T22" s="52" t="s">
        <v>12</v>
      </c>
      <c r="U22" s="57">
        <f>SUM(U7:U21)</f>
        <v>0</v>
      </c>
      <c r="V22" s="57">
        <f>SUM(V7:V21)</f>
        <v>0</v>
      </c>
    </row>
    <row r="23" spans="4:27" ht="20.25">
      <c r="D23" s="17"/>
      <c r="E23" s="17"/>
      <c r="F23" s="17"/>
      <c r="G23" s="20"/>
      <c r="H23" s="19"/>
      <c r="I23" s="17"/>
      <c r="J23" s="17"/>
      <c r="K23" s="19"/>
      <c r="N23" s="23"/>
    </row>
    <row r="24" spans="4:27" ht="20.25">
      <c r="D24" s="21"/>
      <c r="E24" s="21"/>
      <c r="F24" s="21"/>
      <c r="G24" s="20"/>
      <c r="H24" s="19"/>
      <c r="I24" s="21"/>
      <c r="J24" s="21"/>
      <c r="K24" s="19"/>
      <c r="P24" s="23"/>
    </row>
    <row r="25" spans="4:27" ht="20.25">
      <c r="J25" s="17"/>
      <c r="K25" s="19"/>
    </row>
    <row r="26" spans="4:27" ht="20.25">
      <c r="J26" s="17"/>
      <c r="K26" s="19"/>
      <c r="P26" s="23"/>
    </row>
    <row r="27" spans="4:27" ht="20.25">
      <c r="J27" s="17"/>
      <c r="K27" s="19"/>
      <c r="N27" s="23"/>
      <c r="AA27">
        <f>756+295</f>
        <v>1051</v>
      </c>
    </row>
    <row r="28" spans="4:27" ht="15.75">
      <c r="K28" s="19"/>
      <c r="AA28">
        <f>AA27/12</f>
        <v>87.583333333333329</v>
      </c>
    </row>
    <row r="29" spans="4:27">
      <c r="N29" s="23"/>
    </row>
  </sheetData>
  <mergeCells count="6">
    <mergeCell ref="Q5:V5"/>
    <mergeCell ref="D2:K2"/>
    <mergeCell ref="D3:K3"/>
    <mergeCell ref="D4:K4"/>
    <mergeCell ref="Q3:V3"/>
    <mergeCell ref="Q4:V4"/>
  </mergeCells>
  <pageMargins left="0.7" right="0.7" top="0.75" bottom="0.75" header="0.3" footer="0.3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view="pageBreakPreview" zoomScale="115" zoomScaleSheetLayoutView="115" workbookViewId="0">
      <selection activeCell="C15" sqref="C15"/>
    </sheetView>
  </sheetViews>
  <sheetFormatPr defaultColWidth="9" defaultRowHeight="12.75"/>
  <cols>
    <col min="3" max="3" width="9.140625" customWidth="1"/>
    <col min="4" max="4" width="28.28515625" customWidth="1"/>
    <col min="5" max="5" width="8.140625" bestFit="1" customWidth="1"/>
    <col min="6" max="6" width="20.42578125" bestFit="1" customWidth="1"/>
    <col min="7" max="7" width="19.85546875" customWidth="1"/>
    <col min="8" max="8" width="23.140625" customWidth="1"/>
    <col min="9" max="9" width="23.42578125" bestFit="1" customWidth="1"/>
    <col min="10" max="10" width="18.5703125" bestFit="1" customWidth="1"/>
    <col min="11" max="11" width="8.140625" bestFit="1" customWidth="1"/>
    <col min="12" max="13" width="20.42578125" bestFit="1" customWidth="1"/>
    <col min="14" max="14" width="20.42578125" customWidth="1"/>
    <col min="15" max="15" width="24.7109375" customWidth="1"/>
    <col min="16" max="16" width="15.5703125" customWidth="1"/>
    <col min="17" max="17" width="15" customWidth="1"/>
    <col min="18" max="18" width="13.140625" customWidth="1"/>
    <col min="19" max="19" width="13.28515625" customWidth="1"/>
    <col min="21" max="21" width="29.28515625" customWidth="1"/>
    <col min="22" max="22" width="20.28515625" customWidth="1"/>
    <col min="23" max="23" width="20.7109375" customWidth="1"/>
    <col min="24" max="24" width="29" customWidth="1"/>
    <col min="25" max="25" width="18.140625" customWidth="1"/>
    <col min="26" max="26" width="25.140625" customWidth="1"/>
  </cols>
  <sheetData>
    <row r="1" spans="1:26">
      <c r="A1" s="59" t="s">
        <v>68</v>
      </c>
    </row>
    <row r="2" spans="1:26" ht="15.75">
      <c r="D2" s="75" t="s">
        <v>23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26" ht="15.75">
      <c r="D3" s="75" t="s">
        <v>24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U3" s="75" t="s">
        <v>29</v>
      </c>
      <c r="V3" s="75"/>
      <c r="W3" s="75"/>
      <c r="X3" s="75"/>
      <c r="Y3" s="75"/>
      <c r="Z3" s="75"/>
    </row>
    <row r="4" spans="1:26" ht="15.75">
      <c r="D4" s="75" t="s">
        <v>22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U4" s="75" t="s">
        <v>30</v>
      </c>
      <c r="V4" s="75"/>
      <c r="W4" s="75"/>
      <c r="X4" s="75"/>
      <c r="Y4" s="75"/>
      <c r="Z4" s="75"/>
    </row>
    <row r="5" spans="1:26" ht="14.25" customHeight="1" thickBot="1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U5" s="75" t="s">
        <v>31</v>
      </c>
      <c r="V5" s="75"/>
      <c r="W5" s="75"/>
      <c r="X5" s="75"/>
      <c r="Y5" s="75"/>
      <c r="Z5" s="75"/>
    </row>
    <row r="6" spans="1:26" ht="44.25" customHeight="1" thickBot="1">
      <c r="D6" s="2" t="s">
        <v>0</v>
      </c>
      <c r="E6" s="2" t="s">
        <v>25</v>
      </c>
      <c r="F6" s="60" t="s">
        <v>69</v>
      </c>
      <c r="G6" s="60" t="s">
        <v>70</v>
      </c>
      <c r="H6" s="60" t="s">
        <v>72</v>
      </c>
      <c r="I6" s="3" t="s">
        <v>28</v>
      </c>
      <c r="J6" s="4" t="s">
        <v>0</v>
      </c>
      <c r="K6" s="2" t="s">
        <v>25</v>
      </c>
      <c r="L6" s="60" t="s">
        <v>69</v>
      </c>
      <c r="M6" s="60" t="s">
        <v>70</v>
      </c>
      <c r="N6" s="60" t="s">
        <v>72</v>
      </c>
      <c r="O6" s="3" t="s">
        <v>1</v>
      </c>
      <c r="U6" s="2" t="s">
        <v>32</v>
      </c>
      <c r="V6" s="60" t="s">
        <v>73</v>
      </c>
      <c r="W6" s="2" t="s">
        <v>34</v>
      </c>
      <c r="X6" s="2" t="s">
        <v>35</v>
      </c>
      <c r="Y6" s="60" t="s">
        <v>73</v>
      </c>
      <c r="Z6" s="2" t="s">
        <v>34</v>
      </c>
    </row>
    <row r="7" spans="1:26" ht="16.5" thickBot="1">
      <c r="D7" s="5" t="s">
        <v>2</v>
      </c>
      <c r="E7" s="5"/>
      <c r="F7" s="5"/>
      <c r="G7" s="5"/>
      <c r="H7" s="6">
        <f>G7+F7</f>
        <v>0</v>
      </c>
      <c r="I7" s="6"/>
      <c r="J7" s="7" t="s">
        <v>3</v>
      </c>
      <c r="K7" s="5"/>
      <c r="L7" s="5"/>
      <c r="M7" s="5"/>
      <c r="N7" s="6">
        <f>L7+M7</f>
        <v>0</v>
      </c>
      <c r="O7" s="6"/>
      <c r="Q7" s="35" t="s">
        <v>15</v>
      </c>
      <c r="R7" s="36">
        <f>(O9+O8)/12</f>
        <v>2004166.6666666667</v>
      </c>
      <c r="U7" s="50" t="s">
        <v>36</v>
      </c>
      <c r="V7" s="51">
        <v>8001222</v>
      </c>
      <c r="W7" s="51">
        <v>20165922</v>
      </c>
      <c r="X7" s="52" t="s">
        <v>37</v>
      </c>
      <c r="Y7" s="51">
        <v>8572471</v>
      </c>
      <c r="Z7" s="51">
        <v>8572471</v>
      </c>
    </row>
    <row r="8" spans="1:26" ht="15.75" customHeight="1" thickBot="1">
      <c r="D8" s="8" t="s">
        <v>4</v>
      </c>
      <c r="E8" s="6">
        <v>1</v>
      </c>
      <c r="F8" s="6"/>
      <c r="G8" s="6"/>
      <c r="H8" s="6">
        <f t="shared" ref="H8:H11" si="0">G8+F8</f>
        <v>0</v>
      </c>
      <c r="I8" s="9">
        <f>100000</f>
        <v>100000</v>
      </c>
      <c r="J8" s="10" t="s">
        <v>5</v>
      </c>
      <c r="K8" s="6">
        <v>4</v>
      </c>
      <c r="L8" s="6"/>
      <c r="M8" s="6"/>
      <c r="N8" s="6">
        <f t="shared" ref="N8:N11" si="1">L8+M8</f>
        <v>0</v>
      </c>
      <c r="O8" s="22">
        <f>2000000*12</f>
        <v>24000000</v>
      </c>
      <c r="P8" s="23"/>
      <c r="Q8" s="35" t="s">
        <v>16</v>
      </c>
      <c r="R8" s="37">
        <f>R7-R9</f>
        <v>1756588</v>
      </c>
      <c r="U8" s="50"/>
      <c r="V8" s="53"/>
      <c r="W8" s="53"/>
      <c r="X8" s="52" t="s">
        <v>38</v>
      </c>
      <c r="Y8" s="53"/>
      <c r="Z8" s="53"/>
    </row>
    <row r="9" spans="1:26" ht="16.5" customHeight="1" thickBot="1">
      <c r="D9" s="8" t="s">
        <v>20</v>
      </c>
      <c r="E9" s="6">
        <v>5</v>
      </c>
      <c r="F9" s="6"/>
      <c r="G9" s="6"/>
      <c r="H9" s="6">
        <f t="shared" si="0"/>
        <v>0</v>
      </c>
      <c r="I9" s="9">
        <f>O8*75/100</f>
        <v>18000000</v>
      </c>
      <c r="J9" s="10" t="s">
        <v>27</v>
      </c>
      <c r="K9" s="6">
        <v>2</v>
      </c>
      <c r="L9" s="6"/>
      <c r="M9" s="6"/>
      <c r="N9" s="6">
        <f t="shared" si="1"/>
        <v>0</v>
      </c>
      <c r="O9" s="24">
        <v>50000</v>
      </c>
      <c r="Q9" s="35" t="s">
        <v>17</v>
      </c>
      <c r="R9" s="36">
        <f>I23/12</f>
        <v>247578.66666666666</v>
      </c>
      <c r="U9" s="50"/>
      <c r="V9" s="53"/>
      <c r="W9" s="53"/>
      <c r="X9" s="53" t="s">
        <v>39</v>
      </c>
      <c r="Y9" s="51">
        <v>600000</v>
      </c>
      <c r="Z9" s="51">
        <v>600000</v>
      </c>
    </row>
    <row r="10" spans="1:26" ht="16.5" thickBot="1">
      <c r="D10" s="14" t="s">
        <v>26</v>
      </c>
      <c r="E10" s="47">
        <v>6</v>
      </c>
      <c r="F10" s="47"/>
      <c r="G10" s="47"/>
      <c r="H10" s="6">
        <f t="shared" si="0"/>
        <v>0</v>
      </c>
      <c r="I10" s="48">
        <v>0</v>
      </c>
      <c r="J10" s="10"/>
      <c r="K10" s="47"/>
      <c r="L10" s="47"/>
      <c r="M10" s="47"/>
      <c r="N10" s="6">
        <f t="shared" si="1"/>
        <v>0</v>
      </c>
      <c r="O10" s="24"/>
      <c r="Q10" s="35" t="s">
        <v>18</v>
      </c>
      <c r="R10" s="38">
        <f>I11/O8</f>
        <v>0.25208333333333333</v>
      </c>
      <c r="S10" s="23"/>
      <c r="U10" s="54" t="s">
        <v>40</v>
      </c>
      <c r="V10" s="51">
        <v>3696124</v>
      </c>
      <c r="W10" s="55" t="s">
        <v>41</v>
      </c>
      <c r="X10" s="53" t="s">
        <v>42</v>
      </c>
      <c r="Y10" s="51">
        <v>500000</v>
      </c>
      <c r="Z10" s="51">
        <v>500000</v>
      </c>
    </row>
    <row r="11" spans="1:26" ht="16.5" thickBot="1">
      <c r="D11" s="14" t="s">
        <v>7</v>
      </c>
      <c r="E11" s="14">
        <v>7</v>
      </c>
      <c r="F11" s="29">
        <f>L12-SUM(F8:F9)</f>
        <v>0</v>
      </c>
      <c r="G11" s="29">
        <f>M12-SUM(G8:G9)</f>
        <v>0</v>
      </c>
      <c r="H11" s="6">
        <f t="shared" si="0"/>
        <v>0</v>
      </c>
      <c r="I11" s="29">
        <f>O12-SUM(I8:I9)</f>
        <v>6050000</v>
      </c>
      <c r="J11" s="10" t="s">
        <v>6</v>
      </c>
      <c r="K11" s="14">
        <v>1</v>
      </c>
      <c r="L11" s="14"/>
      <c r="M11" s="14"/>
      <c r="N11" s="6">
        <f t="shared" si="1"/>
        <v>0</v>
      </c>
      <c r="O11" s="24">
        <f>I8</f>
        <v>100000</v>
      </c>
      <c r="Q11" s="35" t="s">
        <v>19</v>
      </c>
      <c r="R11" s="39">
        <f>I23/O8</f>
        <v>0.12378933333333333</v>
      </c>
      <c r="U11" s="54" t="s">
        <v>43</v>
      </c>
      <c r="V11" s="51">
        <v>3922590</v>
      </c>
      <c r="W11" s="51">
        <v>3922590</v>
      </c>
      <c r="X11" s="53" t="s">
        <v>44</v>
      </c>
      <c r="Y11" s="51">
        <v>1000000</v>
      </c>
      <c r="Z11" s="51">
        <v>1000000</v>
      </c>
    </row>
    <row r="12" spans="1:26" ht="16.5" customHeight="1" thickBot="1">
      <c r="D12" s="31" t="s">
        <v>8</v>
      </c>
      <c r="E12" s="31"/>
      <c r="F12" s="31"/>
      <c r="G12" s="31"/>
      <c r="H12" s="61">
        <f>SUM(H7:H11)</f>
        <v>0</v>
      </c>
      <c r="I12" s="11">
        <f>SUM(I8:I11)</f>
        <v>24150000</v>
      </c>
      <c r="J12" s="16" t="s">
        <v>8</v>
      </c>
      <c r="K12" s="31"/>
      <c r="L12" s="11">
        <f t="shared" ref="L12:M12" si="2">SUM(L8:L11)</f>
        <v>0</v>
      </c>
      <c r="M12" s="11">
        <f t="shared" si="2"/>
        <v>0</v>
      </c>
      <c r="N12" s="11">
        <f>SUM(N7:N11)</f>
        <v>0</v>
      </c>
      <c r="O12" s="11">
        <f>SUM(O8:O11)</f>
        <v>24150000</v>
      </c>
      <c r="U12" s="54" t="s">
        <v>45</v>
      </c>
      <c r="V12" s="51">
        <v>9175800</v>
      </c>
      <c r="W12" s="51">
        <v>3337019</v>
      </c>
      <c r="X12" s="53" t="s">
        <v>46</v>
      </c>
      <c r="Y12" s="51">
        <v>430000</v>
      </c>
      <c r="Z12" s="51">
        <v>430000</v>
      </c>
    </row>
    <row r="13" spans="1:26" ht="16.5" customHeight="1" thickBot="1">
      <c r="D13" s="40" t="s">
        <v>9</v>
      </c>
      <c r="E13" s="40"/>
      <c r="F13" s="41"/>
      <c r="G13" s="41"/>
      <c r="H13" s="6"/>
      <c r="I13" s="42"/>
      <c r="J13" s="30" t="s">
        <v>10</v>
      </c>
      <c r="K13" s="49">
        <v>7</v>
      </c>
      <c r="L13" s="13">
        <f t="shared" ref="L13:M13" si="3">+F11</f>
        <v>0</v>
      </c>
      <c r="M13" s="13">
        <f t="shared" si="3"/>
        <v>0</v>
      </c>
      <c r="N13" s="13">
        <f>L13+M13</f>
        <v>0</v>
      </c>
      <c r="O13" s="13">
        <f>+I11</f>
        <v>6050000</v>
      </c>
      <c r="U13" s="54" t="s">
        <v>47</v>
      </c>
      <c r="V13" s="53"/>
      <c r="W13" s="53"/>
      <c r="X13" s="52" t="s">
        <v>48</v>
      </c>
      <c r="Y13" s="53"/>
      <c r="Z13" s="53"/>
    </row>
    <row r="14" spans="1:26" ht="16.5" customHeight="1" thickBot="1">
      <c r="D14" s="41" t="s">
        <v>62</v>
      </c>
      <c r="E14" s="41">
        <v>9</v>
      </c>
      <c r="F14" s="41"/>
      <c r="G14" s="41"/>
      <c r="H14" s="6">
        <f>F14+G14</f>
        <v>0</v>
      </c>
      <c r="I14" s="12">
        <v>4980</v>
      </c>
      <c r="J14" s="30"/>
      <c r="K14" s="49"/>
      <c r="L14" s="41"/>
      <c r="M14" s="41"/>
      <c r="N14" s="13">
        <f t="shared" ref="N14:N23" si="4">L14+M14</f>
        <v>0</v>
      </c>
      <c r="O14" s="13"/>
      <c r="U14" s="50" t="s">
        <v>49</v>
      </c>
      <c r="V14" s="51">
        <v>30000</v>
      </c>
      <c r="W14" s="51">
        <v>30000</v>
      </c>
      <c r="X14" s="53" t="s">
        <v>50</v>
      </c>
      <c r="Y14" s="51">
        <v>12897</v>
      </c>
      <c r="Z14" s="51">
        <v>12897</v>
      </c>
    </row>
    <row r="15" spans="1:26" ht="16.5" thickBot="1">
      <c r="D15" s="41" t="s">
        <v>63</v>
      </c>
      <c r="E15" s="41">
        <v>9</v>
      </c>
      <c r="F15" s="41"/>
      <c r="G15" s="41"/>
      <c r="H15" s="6">
        <f t="shared" ref="H15:H21" si="5">F15+G15</f>
        <v>0</v>
      </c>
      <c r="I15" s="12">
        <v>420070</v>
      </c>
      <c r="J15" s="30"/>
      <c r="K15" s="49"/>
      <c r="L15" s="41"/>
      <c r="M15" s="41"/>
      <c r="N15" s="13">
        <f t="shared" si="4"/>
        <v>0</v>
      </c>
      <c r="O15" s="13"/>
      <c r="U15" s="50" t="s">
        <v>51</v>
      </c>
      <c r="V15" s="51">
        <v>10000</v>
      </c>
      <c r="W15" s="51">
        <v>10000</v>
      </c>
      <c r="X15" s="53" t="s">
        <v>52</v>
      </c>
      <c r="Y15" s="51">
        <v>2733450</v>
      </c>
      <c r="Z15" s="51">
        <v>10000000</v>
      </c>
    </row>
    <row r="16" spans="1:26" ht="16.5" thickBot="1">
      <c r="D16" s="41" t="s">
        <v>64</v>
      </c>
      <c r="E16" s="41">
        <v>10</v>
      </c>
      <c r="F16" s="41"/>
      <c r="G16" s="41"/>
      <c r="H16" s="6">
        <f t="shared" si="5"/>
        <v>0</v>
      </c>
      <c r="I16" s="9">
        <v>900000</v>
      </c>
      <c r="J16" s="10"/>
      <c r="K16" s="49"/>
      <c r="L16" s="41"/>
      <c r="M16" s="41"/>
      <c r="N16" s="13">
        <f t="shared" si="4"/>
        <v>0</v>
      </c>
      <c r="O16" s="24"/>
      <c r="U16" s="50"/>
      <c r="V16" s="53"/>
      <c r="W16" s="53"/>
      <c r="X16" s="53" t="s">
        <v>53</v>
      </c>
      <c r="Y16" s="51">
        <v>9414770</v>
      </c>
      <c r="Z16" s="51">
        <v>2635158</v>
      </c>
    </row>
    <row r="17" spans="4:31" ht="16.5" thickBot="1">
      <c r="D17" s="41" t="s">
        <v>65</v>
      </c>
      <c r="E17" s="41">
        <v>11</v>
      </c>
      <c r="F17" s="41"/>
      <c r="G17" s="41"/>
      <c r="H17" s="6">
        <f t="shared" si="5"/>
        <v>0</v>
      </c>
      <c r="I17" s="43">
        <v>504000</v>
      </c>
      <c r="J17" s="10"/>
      <c r="K17" s="49"/>
      <c r="L17" s="41"/>
      <c r="M17" s="41"/>
      <c r="N17" s="13">
        <f t="shared" si="4"/>
        <v>0</v>
      </c>
      <c r="O17" s="25"/>
      <c r="U17" s="56" t="s">
        <v>60</v>
      </c>
      <c r="V17" s="55" t="s">
        <v>41</v>
      </c>
      <c r="W17" s="51">
        <v>5000000</v>
      </c>
      <c r="X17" s="53" t="s">
        <v>54</v>
      </c>
      <c r="Y17" s="51">
        <v>37532</v>
      </c>
      <c r="Z17" s="51">
        <v>37532</v>
      </c>
    </row>
    <row r="18" spans="4:31" ht="16.5" thickBot="1">
      <c r="D18" s="41" t="s">
        <v>66</v>
      </c>
      <c r="E18" s="41">
        <v>12</v>
      </c>
      <c r="F18" s="41"/>
      <c r="G18" s="41"/>
      <c r="H18" s="6">
        <f t="shared" si="5"/>
        <v>0</v>
      </c>
      <c r="I18" s="58">
        <v>360000</v>
      </c>
      <c r="J18" s="10"/>
      <c r="K18" s="49"/>
      <c r="L18" s="41"/>
      <c r="M18" s="41"/>
      <c r="N18" s="13">
        <f t="shared" si="4"/>
        <v>0</v>
      </c>
      <c r="O18" s="25"/>
      <c r="U18" s="50"/>
      <c r="V18" s="53"/>
      <c r="W18" s="53"/>
      <c r="X18" s="53" t="s">
        <v>55</v>
      </c>
      <c r="Y18" s="51">
        <v>56397</v>
      </c>
      <c r="Z18" s="51">
        <v>56397</v>
      </c>
    </row>
    <row r="19" spans="4:31" ht="16.5" thickBot="1">
      <c r="D19" s="41" t="s">
        <v>67</v>
      </c>
      <c r="E19" s="41">
        <v>12</v>
      </c>
      <c r="F19" s="41"/>
      <c r="G19" s="41"/>
      <c r="H19" s="6">
        <f t="shared" si="5"/>
        <v>0</v>
      </c>
      <c r="I19" s="58">
        <v>169912</v>
      </c>
      <c r="J19" s="10"/>
      <c r="K19" s="49"/>
      <c r="L19" s="41"/>
      <c r="M19" s="41"/>
      <c r="N19" s="13">
        <f t="shared" si="4"/>
        <v>0</v>
      </c>
      <c r="O19" s="25"/>
      <c r="R19" s="23"/>
      <c r="U19" s="50"/>
      <c r="V19" s="53"/>
      <c r="W19" s="53"/>
      <c r="X19" s="52" t="s">
        <v>56</v>
      </c>
      <c r="Y19" s="53"/>
      <c r="Z19" s="53"/>
    </row>
    <row r="20" spans="4:31" ht="16.5" thickBot="1">
      <c r="D20" s="41" t="s">
        <v>21</v>
      </c>
      <c r="E20" s="41">
        <v>14</v>
      </c>
      <c r="F20" s="41"/>
      <c r="G20" s="41"/>
      <c r="H20" s="6">
        <f>F20+G20</f>
        <v>0</v>
      </c>
      <c r="I20" s="58">
        <v>471874</v>
      </c>
      <c r="J20" s="10"/>
      <c r="K20" s="49"/>
      <c r="L20" s="41"/>
      <c r="M20" s="41"/>
      <c r="N20" s="13">
        <f t="shared" si="4"/>
        <v>0</v>
      </c>
      <c r="O20" s="25"/>
      <c r="Q20" s="26"/>
      <c r="U20" s="50"/>
      <c r="V20" s="53"/>
      <c r="W20" s="53"/>
      <c r="X20" s="53" t="s">
        <v>57</v>
      </c>
      <c r="Y20" s="51">
        <v>814830</v>
      </c>
      <c r="Z20" s="51">
        <v>814830</v>
      </c>
    </row>
    <row r="21" spans="4:31" ht="16.5" thickBot="1">
      <c r="D21" s="41"/>
      <c r="E21" s="41"/>
      <c r="F21" s="41"/>
      <c r="G21" s="41"/>
      <c r="H21" s="6">
        <f t="shared" si="5"/>
        <v>0</v>
      </c>
      <c r="I21" s="58">
        <v>248220</v>
      </c>
      <c r="J21" s="10"/>
      <c r="K21" s="49"/>
      <c r="L21" s="41"/>
      <c r="M21" s="41"/>
      <c r="N21" s="13">
        <f t="shared" si="4"/>
        <v>0</v>
      </c>
      <c r="O21" s="25"/>
      <c r="U21" s="50"/>
      <c r="V21" s="53"/>
      <c r="W21" s="53"/>
      <c r="X21" s="53" t="s">
        <v>57</v>
      </c>
      <c r="Y21" s="51">
        <v>12900</v>
      </c>
      <c r="Z21" s="51">
        <v>12900</v>
      </c>
    </row>
    <row r="22" spans="4:31" ht="16.5" thickBot="1">
      <c r="D22" s="41"/>
      <c r="E22" s="41"/>
      <c r="F22" s="41"/>
      <c r="G22" s="41"/>
      <c r="H22" s="6">
        <f>F22+G22</f>
        <v>0</v>
      </c>
      <c r="I22" s="45"/>
      <c r="J22" s="10"/>
      <c r="K22" s="49"/>
      <c r="L22" s="41"/>
      <c r="M22" s="41"/>
      <c r="N22" s="13">
        <f t="shared" si="4"/>
        <v>0</v>
      </c>
      <c r="O22" s="22"/>
      <c r="U22" s="50"/>
      <c r="V22" s="53"/>
      <c r="W22" s="53"/>
      <c r="X22" s="53" t="s">
        <v>57</v>
      </c>
      <c r="Y22" s="51">
        <v>6264</v>
      </c>
      <c r="Z22" s="51">
        <v>6264</v>
      </c>
    </row>
    <row r="23" spans="4:31" ht="16.5" thickBot="1">
      <c r="D23" s="41" t="s">
        <v>11</v>
      </c>
      <c r="E23" s="41"/>
      <c r="F23" s="44">
        <f>L24-SUM(F14:F22)</f>
        <v>0</v>
      </c>
      <c r="G23" s="44">
        <f>M24-SUM(G14:G22)</f>
        <v>0</v>
      </c>
      <c r="H23" s="6">
        <f>F23+G23</f>
        <v>0</v>
      </c>
      <c r="I23" s="44">
        <f>O24-SUM(I14:I22)</f>
        <v>2970944</v>
      </c>
      <c r="J23" s="32"/>
      <c r="K23" s="49"/>
      <c r="L23" s="41"/>
      <c r="M23" s="41"/>
      <c r="N23" s="13">
        <f t="shared" si="4"/>
        <v>0</v>
      </c>
      <c r="O23" s="33"/>
      <c r="R23" s="23"/>
      <c r="U23" s="50"/>
      <c r="V23" s="53"/>
      <c r="W23" s="53"/>
      <c r="X23" s="53" t="s">
        <v>58</v>
      </c>
      <c r="Y23" s="51">
        <v>644225</v>
      </c>
      <c r="Z23" s="51">
        <v>644225</v>
      </c>
    </row>
    <row r="24" spans="4:31" ht="16.5" thickBot="1">
      <c r="D24" s="34" t="s">
        <v>12</v>
      </c>
      <c r="E24" s="46"/>
      <c r="F24" s="15">
        <f t="shared" ref="F24:G24" si="6">L24</f>
        <v>0</v>
      </c>
      <c r="G24" s="15">
        <f t="shared" si="6"/>
        <v>0</v>
      </c>
      <c r="H24" s="15">
        <f>SUM(H13:H23)</f>
        <v>0</v>
      </c>
      <c r="I24" s="15">
        <f>O24</f>
        <v>6050000</v>
      </c>
      <c r="J24" s="16"/>
      <c r="K24" s="46"/>
      <c r="L24" s="15">
        <f t="shared" ref="L24:M24" si="7">SUM(L13:L23)</f>
        <v>0</v>
      </c>
      <c r="M24" s="15">
        <f t="shared" si="7"/>
        <v>0</v>
      </c>
      <c r="N24" s="15">
        <f>SUM(N13:N23)</f>
        <v>0</v>
      </c>
      <c r="O24" s="15">
        <f>SUM(O13:O23)</f>
        <v>6050000</v>
      </c>
      <c r="R24" s="23"/>
      <c r="U24" s="50"/>
      <c r="V24" s="53"/>
      <c r="W24" s="53"/>
      <c r="X24" s="53"/>
      <c r="Y24" s="53"/>
      <c r="Z24" s="53"/>
    </row>
    <row r="25" spans="4:31" ht="32.25" thickBot="1">
      <c r="D25" s="27"/>
      <c r="E25" s="27"/>
      <c r="F25" s="27"/>
      <c r="G25" s="27"/>
      <c r="H25" s="27"/>
      <c r="I25" s="28"/>
      <c r="J25" s="27"/>
      <c r="K25" s="27"/>
      <c r="L25" s="27"/>
      <c r="M25" s="27"/>
      <c r="N25" s="27"/>
      <c r="O25" s="28"/>
      <c r="R25" s="23"/>
      <c r="U25" s="50"/>
      <c r="V25" s="53"/>
      <c r="W25" s="53"/>
      <c r="X25" s="53" t="s">
        <v>59</v>
      </c>
      <c r="Y25" s="55" t="s">
        <v>41</v>
      </c>
      <c r="Z25" s="51">
        <v>7142857</v>
      </c>
    </row>
    <row r="26" spans="4:31" ht="21" customHeight="1" thickBot="1">
      <c r="D26" s="17"/>
      <c r="E26" s="17"/>
      <c r="F26" s="17"/>
      <c r="G26" s="17"/>
      <c r="H26" s="17"/>
      <c r="I26" s="18"/>
      <c r="J26" s="18"/>
      <c r="K26" s="17"/>
      <c r="L26" s="17"/>
      <c r="M26" s="17"/>
      <c r="N26" s="17"/>
      <c r="O26" s="19"/>
      <c r="U26" s="50"/>
      <c r="V26" s="53"/>
      <c r="W26" s="53"/>
      <c r="X26" s="53"/>
      <c r="Y26" s="53"/>
      <c r="Z26" s="53"/>
    </row>
    <row r="27" spans="4:31" ht="21" thickBot="1">
      <c r="D27" s="17"/>
      <c r="E27" s="17"/>
      <c r="F27" s="17"/>
      <c r="G27" s="17"/>
      <c r="H27" s="17"/>
      <c r="I27" s="20"/>
      <c r="J27" s="19"/>
      <c r="K27" s="17"/>
      <c r="L27" s="17"/>
      <c r="M27" s="17"/>
      <c r="N27" s="17"/>
      <c r="O27" s="19"/>
      <c r="U27" s="54" t="s">
        <v>12</v>
      </c>
      <c r="V27" s="57">
        <f>SUM(V7:V26)</f>
        <v>24835736</v>
      </c>
      <c r="W27" s="57">
        <f>SUM(W7:W26)</f>
        <v>32465531</v>
      </c>
      <c r="X27" s="52" t="s">
        <v>12</v>
      </c>
      <c r="Y27" s="57">
        <f>SUM(Y7:Y26)</f>
        <v>24835736</v>
      </c>
      <c r="Z27" s="57">
        <f>SUM(Z7:Z26)</f>
        <v>32465531</v>
      </c>
    </row>
    <row r="28" spans="4:31" ht="20.25">
      <c r="D28" s="17"/>
      <c r="E28" s="17"/>
      <c r="F28" s="17"/>
      <c r="G28" s="17"/>
      <c r="H28" s="17"/>
      <c r="I28" s="20"/>
      <c r="J28" s="19"/>
      <c r="K28" s="17"/>
      <c r="L28" s="17"/>
      <c r="M28" s="17"/>
      <c r="N28" s="17"/>
      <c r="O28" s="19"/>
    </row>
    <row r="29" spans="4:31" ht="20.25">
      <c r="D29" s="21"/>
      <c r="E29" s="21"/>
      <c r="F29" s="21"/>
      <c r="G29" s="21"/>
      <c r="H29" s="21"/>
      <c r="I29" s="20"/>
      <c r="J29" s="19"/>
      <c r="K29" s="21"/>
      <c r="L29" s="21"/>
      <c r="M29" s="21"/>
      <c r="N29" s="21"/>
      <c r="O29" s="19"/>
      <c r="Q29" t="s">
        <v>13</v>
      </c>
      <c r="R29" s="23">
        <f>I9/12</f>
        <v>1500000</v>
      </c>
      <c r="T29" s="23"/>
    </row>
    <row r="30" spans="4:31" ht="20.25">
      <c r="M30" s="17"/>
      <c r="N30" s="17"/>
      <c r="O30" s="19"/>
      <c r="Q30" t="s">
        <v>14</v>
      </c>
      <c r="R30">
        <f>86000/12</f>
        <v>7166.666666666667</v>
      </c>
    </row>
    <row r="31" spans="4:31" ht="20.25">
      <c r="M31" s="17"/>
      <c r="N31" s="17"/>
      <c r="O31" s="19"/>
      <c r="R31" s="23">
        <f>SUM(R29:R30)</f>
        <v>1507166.6666666667</v>
      </c>
      <c r="T31" s="23"/>
    </row>
    <row r="32" spans="4:31" ht="20.25">
      <c r="M32" s="17"/>
      <c r="N32" s="17"/>
      <c r="O32" s="19"/>
      <c r="AE32">
        <f>756+295</f>
        <v>1051</v>
      </c>
    </row>
    <row r="33" spans="15:31" ht="15.75">
      <c r="O33" s="19"/>
      <c r="AE33">
        <f>AE32/12</f>
        <v>87.583333333333329</v>
      </c>
    </row>
  </sheetData>
  <mergeCells count="6">
    <mergeCell ref="U5:Z5"/>
    <mergeCell ref="D2:O2"/>
    <mergeCell ref="D3:O3"/>
    <mergeCell ref="U3:Z3"/>
    <mergeCell ref="D4:O4"/>
    <mergeCell ref="U4:Z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Company 1</vt:lpstr>
      <vt:lpstr>02 companies</vt:lpstr>
      <vt:lpstr>'Company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win98</dc:creator>
  <cp:lastModifiedBy>RAVI VARMA</cp:lastModifiedBy>
  <cp:lastPrinted>2021-10-28T12:23:44Z</cp:lastPrinted>
  <dcterms:created xsi:type="dcterms:W3CDTF">2004-10-06T10:01:00Z</dcterms:created>
  <dcterms:modified xsi:type="dcterms:W3CDTF">2025-06-20T08:55:07Z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1B8ADD9ECBE4497BAC835A9FCD53C7B2</vt:lpwstr>
  </property>
  <property fmtid="{D5CDD505-2E9C-101B-9397-08002B2CF9AE}" pid="3" name="KSOProductBuildVer">
    <vt:lpwstr>1033-11.2.0.10323</vt:lpwstr>
  </property>
</Properties>
</file>