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AVI VARMA\Desktop\PD FORMATS\"/>
    </mc:Choice>
  </mc:AlternateContent>
  <bookViews>
    <workbookView xWindow="0" yWindow="0" windowWidth="28800" windowHeight="11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Sheet1!$B$2:$C$48</definedName>
  </definedNames>
  <calcPr calcId="162913" iterateDelta="1E-4"/>
  <extLst>
    <ext uri="GoogleSheetsCustomDataVersion1">
      <go:sheetsCustomData xmlns:go="http://customooxmlschemas.google.com/" r:id="" roundtripDataSignature="AMtx7mjJrJofdOxBYN3Z/5r0LcQJCOJ1Rw=="/>
    </ext>
  </extLst>
</workbook>
</file>

<file path=xl/calcChain.xml><?xml version="1.0" encoding="utf-8"?>
<calcChain xmlns="http://schemas.openxmlformats.org/spreadsheetml/2006/main">
  <c r="C5" i="1" l="1"/>
  <c r="C9" i="1" s="1"/>
  <c r="C18" i="1"/>
  <c r="C17" i="1"/>
  <c r="C16" i="1"/>
  <c r="C15" i="1"/>
  <c r="C14" i="1"/>
  <c r="C19" i="1" l="1"/>
  <c r="C6" i="1"/>
  <c r="C10" i="1" l="1"/>
  <c r="C12" i="1" s="1"/>
  <c r="E8" i="1"/>
  <c r="C7" i="1"/>
  <c r="B42" i="1" l="1"/>
  <c r="C35" i="1" l="1"/>
  <c r="C11" i="1"/>
  <c r="C21" i="1" s="1"/>
  <c r="C27" i="1" l="1"/>
  <c r="C31" i="1" s="1"/>
  <c r="C34" i="1" s="1"/>
  <c r="C23" i="1"/>
  <c r="D36" i="1" l="1"/>
</calcChain>
</file>

<file path=xl/sharedStrings.xml><?xml version="1.0" encoding="utf-8"?>
<sst xmlns="http://schemas.openxmlformats.org/spreadsheetml/2006/main" count="27" uniqueCount="26">
  <si>
    <t>Particulars</t>
  </si>
  <si>
    <t>Estimated income</t>
  </si>
  <si>
    <t>Gross Receipts</t>
  </si>
  <si>
    <t>Other Income</t>
  </si>
  <si>
    <t>Sub-total</t>
  </si>
  <si>
    <t>Cost of material consumed</t>
  </si>
  <si>
    <t>Cost of material consumed to Receipts%</t>
  </si>
  <si>
    <t>Gross Profit as per assumption</t>
  </si>
  <si>
    <t>GP ratio %</t>
  </si>
  <si>
    <t>Expenditure</t>
  </si>
  <si>
    <t>Other Expenses</t>
  </si>
  <si>
    <t>Net Profit before interest, tax &amp; Depreciation</t>
  </si>
  <si>
    <t xml:space="preserve">PBDIT Margin % </t>
  </si>
  <si>
    <t>Finance Expenses</t>
  </si>
  <si>
    <t>Net Profit before tax&amp; Depreciation</t>
  </si>
  <si>
    <t>Depreciation</t>
  </si>
  <si>
    <t>Net Profit Before Tax</t>
  </si>
  <si>
    <t>Income Tax</t>
  </si>
  <si>
    <t>Net Profit After Tax</t>
  </si>
  <si>
    <t>Total expenses incl cost of sales</t>
  </si>
  <si>
    <t>Salary</t>
  </si>
  <si>
    <t>Electricity</t>
  </si>
  <si>
    <t>Prop : Mrs. AKUNURI SRILAKSHMI</t>
  </si>
  <si>
    <t>Rent</t>
  </si>
  <si>
    <t>Travelling</t>
  </si>
  <si>
    <t>Estimated Financial statement of M/S. XXXX for the year end 31-03-2025.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</si>
</sst>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rgb="FF000000"/>
      <name val="Calibri"/>
    </font>
    <font>
      <sz val="11"/>
      <name val="Calibri"/>
      <family val="2"/>
    </font>
    <font>
      <b/>
      <sz val="10"/>
      <color rgb="FF000000"/>
      <name val="Verdana"/>
      <family val="2"/>
    </font>
    <font>
      <b/>
      <u/>
      <sz val="10"/>
      <color rgb="FF000000"/>
      <name val="Verdana"/>
      <family val="2"/>
    </font>
    <font>
      <sz val="10"/>
      <color rgb="FF000000"/>
      <name val="Verdana"/>
      <family val="2"/>
    </font>
    <font>
      <b/>
      <u/>
      <sz val="10"/>
      <color rgb="FF000000"/>
      <name val="Verdana"/>
      <family val="2"/>
    </font>
    <font>
      <b/>
      <u/>
      <sz val="10"/>
      <color rgb="FF000000"/>
      <name val="Verdana"/>
      <family val="2"/>
    </font>
    <font>
      <b/>
      <sz val="11"/>
      <color rgb="FF00000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>
      <alignment vertical="center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0" xfId="0" applyFont="1" applyAlignment="1"/>
    <xf numFmtId="0" fontId="2" fillId="0" borderId="8" xfId="0" applyFont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/>
    <xf numFmtId="164" fontId="4" fillId="0" borderId="11" xfId="0" applyNumberFormat="1" applyFont="1" applyBorder="1" applyAlignment="1"/>
    <xf numFmtId="164" fontId="0" fillId="0" borderId="0" xfId="0" applyNumberFormat="1" applyFont="1" applyAlignment="1"/>
    <xf numFmtId="0" fontId="4" fillId="0" borderId="12" xfId="0" applyFont="1" applyBorder="1" applyAlignment="1"/>
    <xf numFmtId="164" fontId="4" fillId="0" borderId="11" xfId="0" applyNumberFormat="1" applyFont="1" applyBorder="1" applyAlignment="1"/>
    <xf numFmtId="164" fontId="2" fillId="0" borderId="9" xfId="0" applyNumberFormat="1" applyFont="1" applyBorder="1" applyAlignment="1"/>
    <xf numFmtId="164" fontId="2" fillId="0" borderId="11" xfId="0" applyNumberFormat="1" applyFont="1" applyBorder="1" applyAlignment="1"/>
    <xf numFmtId="0" fontId="2" fillId="0" borderId="12" xfId="0" applyFont="1" applyBorder="1" applyAlignment="1"/>
    <xf numFmtId="164" fontId="2" fillId="0" borderId="13" xfId="0" applyNumberFormat="1" applyFont="1" applyBorder="1" applyAlignment="1"/>
    <xf numFmtId="0" fontId="5" fillId="0" borderId="12" xfId="0" applyFont="1" applyBorder="1" applyAlignment="1"/>
    <xf numFmtId="164" fontId="6" fillId="0" borderId="11" xfId="0" applyNumberFormat="1" applyFont="1" applyBorder="1" applyAlignment="1"/>
    <xf numFmtId="164" fontId="4" fillId="0" borderId="14" xfId="0" applyNumberFormat="1" applyFont="1" applyBorder="1" applyAlignment="1"/>
    <xf numFmtId="164" fontId="4" fillId="0" borderId="14" xfId="0" applyNumberFormat="1" applyFont="1" applyBorder="1" applyAlignment="1"/>
    <xf numFmtId="0" fontId="2" fillId="0" borderId="12" xfId="0" applyFont="1" applyBorder="1" applyAlignment="1">
      <alignment wrapText="1"/>
    </xf>
    <xf numFmtId="164" fontId="2" fillId="0" borderId="15" xfId="0" applyNumberFormat="1" applyFont="1" applyBorder="1" applyAlignment="1"/>
    <xf numFmtId="0" fontId="4" fillId="0" borderId="12" xfId="0" applyFont="1" applyBorder="1" applyAlignment="1">
      <alignment wrapText="1"/>
    </xf>
    <xf numFmtId="164" fontId="4" fillId="0" borderId="11" xfId="0" applyNumberFormat="1" applyFont="1" applyBorder="1" applyAlignment="1">
      <alignment wrapText="1"/>
    </xf>
    <xf numFmtId="43" fontId="0" fillId="0" borderId="0" xfId="0" applyNumberFormat="1" applyFont="1" applyAlignment="1"/>
    <xf numFmtId="0" fontId="4" fillId="0" borderId="16" xfId="0" applyFont="1" applyBorder="1" applyAlignment="1">
      <alignment wrapText="1"/>
    </xf>
    <xf numFmtId="164" fontId="4" fillId="0" borderId="17" xfId="0" applyNumberFormat="1" applyFont="1" applyBorder="1" applyAlignment="1"/>
    <xf numFmtId="0" fontId="4" fillId="0" borderId="0" xfId="0" applyFont="1" applyAlignment="1">
      <alignment wrapText="1"/>
    </xf>
    <xf numFmtId="165" fontId="4" fillId="0" borderId="0" xfId="0" applyNumberFormat="1" applyFont="1" applyAlignment="1"/>
    <xf numFmtId="0" fontId="0" fillId="0" borderId="0" xfId="0" applyFont="1" applyBorder="1" applyAlignment="1"/>
    <xf numFmtId="17" fontId="0" fillId="0" borderId="0" xfId="0" applyNumberFormat="1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0" xfId="0" applyBorder="1"/>
    <xf numFmtId="164" fontId="0" fillId="0" borderId="0" xfId="0" applyNumberFormat="1" applyBorder="1"/>
    <xf numFmtId="164" fontId="0" fillId="0" borderId="0" xfId="0" applyNumberFormat="1" applyFont="1" applyBorder="1" applyAlignment="1"/>
    <xf numFmtId="0" fontId="2" fillId="0" borderId="4" xfId="0" applyFont="1" applyBorder="1" applyAlignment="1">
      <alignment horizontal="center" wrapText="1"/>
    </xf>
    <xf numFmtId="0" fontId="8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vertic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123263</xdr:colOff>
      <xdr:row>39</xdr:row>
      <xdr:rowOff>82826</xdr:rowOff>
    </xdr:from>
    <xdr:ext cx="1955672" cy="1640030"/>
    <xdr:pic>
      <xdr:nvPicPr>
        <xdr:cNvPr id="2" name="image1.jpg" descr="SIR SIGN NEW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176" y="7868478"/>
          <a:ext cx="1955672" cy="164003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2"/>
  <sheetViews>
    <sheetView tabSelected="1" view="pageBreakPreview" zoomScaleSheetLayoutView="100" workbookViewId="0">
      <selection activeCell="F9" sqref="F9"/>
    </sheetView>
  </sheetViews>
  <sheetFormatPr defaultColWidth="14.42578125" defaultRowHeight="15" customHeight="1" x14ac:dyDescent="0.25"/>
  <cols>
    <col min="1" max="1" width="9.140625" customWidth="1"/>
    <col min="2" max="2" width="39" customWidth="1"/>
    <col min="3" max="3" width="20.42578125" customWidth="1"/>
    <col min="4" max="4" width="14.42578125" customWidth="1"/>
    <col min="5" max="5" width="15.7109375" bestFit="1" customWidth="1"/>
    <col min="6" max="6" width="14.85546875" bestFit="1" customWidth="1"/>
    <col min="7" max="7" width="14.42578125" customWidth="1"/>
    <col min="8" max="8" width="13.42578125" customWidth="1"/>
    <col min="9" max="9" width="9.140625" customWidth="1"/>
    <col min="10" max="10" width="11.42578125" customWidth="1"/>
    <col min="11" max="24" width="9.140625" customWidth="1"/>
  </cols>
  <sheetData>
    <row r="1" spans="1:24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4" ht="43.5" customHeight="1" x14ac:dyDescent="0.25">
      <c r="A2" s="3"/>
      <c r="B2" s="36" t="s">
        <v>25</v>
      </c>
      <c r="C2" s="3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4" x14ac:dyDescent="0.25">
      <c r="A3" s="3"/>
      <c r="B3" s="38" t="s">
        <v>22</v>
      </c>
      <c r="C3" s="39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4" x14ac:dyDescent="0.25">
      <c r="A4" s="3"/>
      <c r="B4" s="5" t="s">
        <v>0</v>
      </c>
      <c r="C4" s="6" t="s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4" x14ac:dyDescent="0.25">
      <c r="A5" s="3"/>
      <c r="B5" s="7" t="s">
        <v>2</v>
      </c>
      <c r="C5" s="8">
        <f>800000*12</f>
        <v>9600000</v>
      </c>
      <c r="D5" s="9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4" x14ac:dyDescent="0.25">
      <c r="A6" s="3"/>
      <c r="B6" s="10" t="s">
        <v>3</v>
      </c>
      <c r="C6" s="11">
        <f>0*12</f>
        <v>0</v>
      </c>
      <c r="D6" s="9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4" x14ac:dyDescent="0.25">
      <c r="A7" s="3"/>
      <c r="B7" s="10" t="s">
        <v>4</v>
      </c>
      <c r="C7" s="12">
        <f>+C5+C6</f>
        <v>9600000</v>
      </c>
      <c r="D7" s="9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4" x14ac:dyDescent="0.25">
      <c r="A8" s="3"/>
      <c r="B8" s="10"/>
      <c r="C8" s="13"/>
      <c r="D8" s="4"/>
      <c r="E8" s="9">
        <f>C5/12</f>
        <v>800000</v>
      </c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4" x14ac:dyDescent="0.25">
      <c r="A9" s="3"/>
      <c r="B9" s="10" t="s">
        <v>5</v>
      </c>
      <c r="C9" s="11">
        <f>+C5*0.8</f>
        <v>7680000</v>
      </c>
      <c r="D9" s="4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4" x14ac:dyDescent="0.25">
      <c r="A10" s="3"/>
      <c r="B10" s="10" t="s">
        <v>6</v>
      </c>
      <c r="C10" s="11">
        <f>+C9/C5*100</f>
        <v>80</v>
      </c>
      <c r="D10" s="4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3"/>
      <c r="B11" s="14" t="s">
        <v>7</v>
      </c>
      <c r="C11" s="15">
        <f>+C7-C9</f>
        <v>1920000</v>
      </c>
      <c r="D11" s="4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3"/>
      <c r="B12" s="14" t="s">
        <v>8</v>
      </c>
      <c r="C12" s="13">
        <f>100-C10</f>
        <v>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3"/>
      <c r="B13" s="16" t="s">
        <v>9</v>
      </c>
      <c r="C13" s="1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3"/>
      <c r="B14" s="10" t="s">
        <v>20</v>
      </c>
      <c r="C14" s="19">
        <f>60000*12</f>
        <v>720000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3"/>
      <c r="B15" s="10" t="s">
        <v>23</v>
      </c>
      <c r="C15" s="19">
        <f>12000*12</f>
        <v>144000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3"/>
      <c r="B16" s="10" t="s">
        <v>21</v>
      </c>
      <c r="C16" s="18">
        <f>3000*12</f>
        <v>36000</v>
      </c>
      <c r="D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3"/>
      <c r="B17" s="10" t="s">
        <v>24</v>
      </c>
      <c r="C17" s="19">
        <f>10000*12</f>
        <v>120000</v>
      </c>
      <c r="D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25">
      <c r="A18" s="3"/>
      <c r="B18" s="10" t="s">
        <v>10</v>
      </c>
      <c r="C18" s="19">
        <f>5000*12</f>
        <v>60000</v>
      </c>
      <c r="D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25">
      <c r="A19" s="3"/>
      <c r="B19" s="20" t="s">
        <v>4</v>
      </c>
      <c r="C19" s="12">
        <f>SUM(C14:C18)</f>
        <v>1080000</v>
      </c>
      <c r="D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25">
      <c r="A20" s="3"/>
      <c r="B20" s="20"/>
      <c r="C20" s="13"/>
      <c r="D20" s="9"/>
      <c r="G20" s="4"/>
      <c r="H20" s="4"/>
      <c r="I20" s="4"/>
      <c r="J20" s="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25">
      <c r="A21" s="3"/>
      <c r="B21" s="20" t="s">
        <v>11</v>
      </c>
      <c r="C21" s="13">
        <f>+C11-C19</f>
        <v>840000</v>
      </c>
      <c r="D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25">
      <c r="A22" s="3"/>
      <c r="B22" s="10"/>
      <c r="C22" s="11"/>
      <c r="D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25">
      <c r="A23" s="3"/>
      <c r="B23" s="14" t="s">
        <v>12</v>
      </c>
      <c r="C23" s="13">
        <f>+C21/C7*100</f>
        <v>8.75</v>
      </c>
      <c r="D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5">
      <c r="A24" s="3"/>
      <c r="B24" s="10"/>
      <c r="C24" s="11"/>
      <c r="D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5">
      <c r="A25" s="3"/>
      <c r="B25" s="10" t="s">
        <v>13</v>
      </c>
      <c r="C25" s="11">
        <v>0</v>
      </c>
      <c r="D25" s="4"/>
      <c r="G25" s="29"/>
      <c r="H25" s="29"/>
      <c r="I25" s="29"/>
      <c r="J25" s="2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5">
      <c r="A26" s="3"/>
      <c r="B26" s="10"/>
      <c r="C26" s="11"/>
      <c r="D26" s="4"/>
      <c r="G26" s="42"/>
      <c r="H26" s="42"/>
      <c r="I26" s="29"/>
      <c r="J26" s="2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5">
      <c r="A27" s="3"/>
      <c r="B27" s="20" t="s">
        <v>14</v>
      </c>
      <c r="C27" s="21">
        <f>+C21-C25</f>
        <v>840000</v>
      </c>
      <c r="D27" s="4"/>
      <c r="G27" s="30"/>
      <c r="H27" s="31"/>
      <c r="I27" s="29"/>
      <c r="J27" s="2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4"/>
      <c r="B28" s="10"/>
      <c r="C28" s="11"/>
      <c r="D28" s="4"/>
      <c r="G28" s="30"/>
      <c r="H28" s="31"/>
      <c r="I28" s="29"/>
      <c r="J28" s="2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4"/>
      <c r="B29" s="22" t="s">
        <v>15</v>
      </c>
      <c r="C29" s="23">
        <v>0</v>
      </c>
      <c r="D29" s="4"/>
      <c r="G29" s="30"/>
      <c r="H29" s="31"/>
      <c r="I29" s="29"/>
      <c r="J29" s="2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4"/>
      <c r="B30" s="22"/>
      <c r="C30" s="23"/>
      <c r="D30" s="4"/>
      <c r="G30" s="30"/>
      <c r="H30" s="31"/>
      <c r="I30" s="29"/>
      <c r="J30" s="2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5">
      <c r="A31" s="4"/>
      <c r="B31" s="20" t="s">
        <v>16</v>
      </c>
      <c r="C31" s="21">
        <f>+C27-C29</f>
        <v>840000</v>
      </c>
      <c r="D31" s="4"/>
      <c r="G31" s="30"/>
      <c r="H31" s="31"/>
      <c r="I31" s="29"/>
      <c r="J31" s="2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5">
      <c r="A32" s="4"/>
      <c r="B32" s="22" t="s">
        <v>17</v>
      </c>
      <c r="C32" s="23">
        <v>0</v>
      </c>
      <c r="D32" s="4"/>
      <c r="E32" s="4"/>
      <c r="F32" s="4"/>
      <c r="G32" s="30"/>
      <c r="H32" s="31"/>
      <c r="I32" s="29"/>
      <c r="J32" s="2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5">
      <c r="A33" s="4"/>
      <c r="B33" s="22"/>
      <c r="C33" s="23"/>
      <c r="D33" s="4"/>
      <c r="E33" s="4"/>
      <c r="F33" s="24"/>
      <c r="G33" s="30"/>
      <c r="H33" s="31"/>
      <c r="I33" s="29"/>
      <c r="J33" s="2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thickBot="1" x14ac:dyDescent="0.3">
      <c r="A34" s="4"/>
      <c r="B34" s="14" t="s">
        <v>18</v>
      </c>
      <c r="C34" s="15">
        <f>+C31-C32</f>
        <v>840000</v>
      </c>
      <c r="D34" s="4"/>
      <c r="E34" s="4"/>
      <c r="F34" s="4"/>
      <c r="G34" s="30"/>
      <c r="H34" s="31"/>
      <c r="I34" s="29"/>
      <c r="J34" s="2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thickTop="1" thickBot="1" x14ac:dyDescent="0.3">
      <c r="A35" s="4"/>
      <c r="B35" s="25" t="s">
        <v>19</v>
      </c>
      <c r="C35" s="26">
        <f>+C19+C9+C25+C29+C32</f>
        <v>8760000</v>
      </c>
      <c r="D35" s="4"/>
      <c r="E35" s="4"/>
      <c r="F35" s="4"/>
      <c r="G35" s="30"/>
      <c r="H35" s="31"/>
      <c r="I35" s="29"/>
      <c r="J35" s="2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thickTop="1" x14ac:dyDescent="0.25">
      <c r="A36" s="4"/>
      <c r="B36" s="27"/>
      <c r="C36" s="28"/>
      <c r="D36" s="24">
        <f>C34/12</f>
        <v>70000</v>
      </c>
      <c r="E36" s="4"/>
      <c r="F36" s="4"/>
      <c r="G36" s="30"/>
      <c r="H36" s="32"/>
      <c r="I36" s="29"/>
      <c r="J36" s="2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5">
      <c r="A37" s="4"/>
      <c r="B37" s="27"/>
      <c r="C37" s="28"/>
      <c r="D37" s="24"/>
      <c r="E37" s="4"/>
      <c r="F37" s="4"/>
      <c r="G37" s="30"/>
      <c r="H37" s="32"/>
      <c r="I37" s="29"/>
      <c r="J37" s="2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25">
      <c r="A38" s="4"/>
      <c r="B38" s="27"/>
      <c r="C38" s="28"/>
      <c r="D38" s="4"/>
      <c r="E38" s="4"/>
      <c r="F38" s="4"/>
      <c r="G38" s="30"/>
      <c r="H38" s="32"/>
      <c r="I38" s="29"/>
      <c r="J38" s="2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 x14ac:dyDescent="0.25">
      <c r="A39" s="4"/>
      <c r="B39" s="27"/>
      <c r="C39" s="28"/>
      <c r="D39" s="4"/>
      <c r="E39" s="4"/>
      <c r="F39" s="4"/>
      <c r="G39" s="33"/>
      <c r="H39" s="34"/>
      <c r="I39" s="29"/>
      <c r="J39" s="2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 x14ac:dyDescent="0.25">
      <c r="A40" s="4"/>
      <c r="B40" s="4"/>
      <c r="C40" s="4"/>
      <c r="D40" s="4"/>
      <c r="E40" s="4"/>
      <c r="F40" s="4"/>
      <c r="G40" s="29"/>
      <c r="H40" s="35"/>
      <c r="I40" s="29"/>
      <c r="J40" s="2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 x14ac:dyDescent="0.25">
      <c r="A41" s="4"/>
      <c r="B41" s="4"/>
      <c r="C41" s="4"/>
      <c r="D41" s="4"/>
      <c r="E41" s="4"/>
      <c r="F41" s="4"/>
      <c r="G41" s="29"/>
      <c r="H41" s="29"/>
      <c r="I41" s="29"/>
      <c r="J41" s="2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 x14ac:dyDescent="0.25">
      <c r="A42" s="3"/>
      <c r="B42" s="40" t="e">
        <f>CONCATENATE(#REF!,RIGHT(#REF!,10))</f>
        <v>#REF!</v>
      </c>
      <c r="C42" s="4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 x14ac:dyDescent="0.25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 x14ac:dyDescent="0.25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 x14ac:dyDescent="0.25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 x14ac:dyDescent="0.25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 x14ac:dyDescent="0.2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 x14ac:dyDescent="0.25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 x14ac:dyDescent="0.25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 x14ac:dyDescent="0.25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 x14ac:dyDescent="0.25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 x14ac:dyDescent="0.25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2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 x14ac:dyDescent="0.25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 x14ac:dyDescent="0.25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 x14ac:dyDescent="0.25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 x14ac:dyDescent="0.25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 x14ac:dyDescent="0.25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 x14ac:dyDescent="0.25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 x14ac:dyDescent="0.25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 x14ac:dyDescent="0.25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 x14ac:dyDescent="0.2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 x14ac:dyDescent="0.2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 x14ac:dyDescent="0.2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 x14ac:dyDescent="0.25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 x14ac:dyDescent="0.25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 x14ac:dyDescent="0.25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 x14ac:dyDescent="0.25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 x14ac:dyDescent="0.25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 x14ac:dyDescent="0.2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 x14ac:dyDescent="0.25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 x14ac:dyDescent="0.2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 x14ac:dyDescent="0.2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 x14ac:dyDescent="0.25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 x14ac:dyDescent="0.25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 x14ac:dyDescent="0.25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 x14ac:dyDescent="0.25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 x14ac:dyDescent="0.25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 x14ac:dyDescent="0.25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 x14ac:dyDescent="0.25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 x14ac:dyDescent="0.2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 x14ac:dyDescent="0.25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 x14ac:dyDescent="0.25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 x14ac:dyDescent="0.25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 x14ac:dyDescent="0.25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 x14ac:dyDescent="0.25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 x14ac:dyDescent="0.25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 x14ac:dyDescent="0.25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 x14ac:dyDescent="0.25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 x14ac:dyDescent="0.25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 x14ac:dyDescent="0.25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 x14ac:dyDescent="0.25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 x14ac:dyDescent="0.25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 x14ac:dyDescent="0.25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 x14ac:dyDescent="0.25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 x14ac:dyDescent="0.25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 x14ac:dyDescent="0.25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 x14ac:dyDescent="0.25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 x14ac:dyDescent="0.2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 x14ac:dyDescent="0.25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 x14ac:dyDescent="0.25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 x14ac:dyDescent="0.25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 x14ac:dyDescent="0.25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 x14ac:dyDescent="0.25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 x14ac:dyDescent="0.25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 x14ac:dyDescent="0.25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 x14ac:dyDescent="0.25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 x14ac:dyDescent="0.25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 x14ac:dyDescent="0.25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 x14ac:dyDescent="0.25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 x14ac:dyDescent="0.25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 x14ac:dyDescent="0.25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 x14ac:dyDescent="0.25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 x14ac:dyDescent="0.25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 x14ac:dyDescent="0.25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 x14ac:dyDescent="0.25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 x14ac:dyDescent="0.2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 x14ac:dyDescent="0.25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25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25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25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25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25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25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25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25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25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25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25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25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25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25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25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25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2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25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25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25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 x14ac:dyDescent="0.25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 x14ac:dyDescent="0.25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 x14ac:dyDescent="0.25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 x14ac:dyDescent="0.25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 x14ac:dyDescent="0.25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 x14ac:dyDescent="0.25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 x14ac:dyDescent="0.25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 x14ac:dyDescent="0.25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 x14ac:dyDescent="0.25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 x14ac:dyDescent="0.25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 x14ac:dyDescent="0.25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 x14ac:dyDescent="0.25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 x14ac:dyDescent="0.25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 x14ac:dyDescent="0.25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 x14ac:dyDescent="0.2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 x14ac:dyDescent="0.25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 x14ac:dyDescent="0.25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 x14ac:dyDescent="0.25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 x14ac:dyDescent="0.25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 x14ac:dyDescent="0.25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 x14ac:dyDescent="0.25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 x14ac:dyDescent="0.25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 x14ac:dyDescent="0.25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 x14ac:dyDescent="0.25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 x14ac:dyDescent="0.25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 x14ac:dyDescent="0.25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 x14ac:dyDescent="0.25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 x14ac:dyDescent="0.25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 x14ac:dyDescent="0.25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 x14ac:dyDescent="0.25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 x14ac:dyDescent="0.25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 x14ac:dyDescent="0.25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 x14ac:dyDescent="0.2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 x14ac:dyDescent="0.25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 x14ac:dyDescent="0.25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 x14ac:dyDescent="0.25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 x14ac:dyDescent="0.25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 x14ac:dyDescent="0.25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 x14ac:dyDescent="0.25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 x14ac:dyDescent="0.25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 x14ac:dyDescent="0.25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 x14ac:dyDescent="0.25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 x14ac:dyDescent="0.25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 x14ac:dyDescent="0.25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 x14ac:dyDescent="0.25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 x14ac:dyDescent="0.25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 x14ac:dyDescent="0.25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 x14ac:dyDescent="0.25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 x14ac:dyDescent="0.25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 x14ac:dyDescent="0.25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 x14ac:dyDescent="0.2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 x14ac:dyDescent="0.25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 x14ac:dyDescent="0.25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 x14ac:dyDescent="0.25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 x14ac:dyDescent="0.25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 x14ac:dyDescent="0.25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 x14ac:dyDescent="0.25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 x14ac:dyDescent="0.25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 x14ac:dyDescent="0.25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 x14ac:dyDescent="0.25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 x14ac:dyDescent="0.25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x14ac:dyDescent="0.25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 x14ac:dyDescent="0.25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 x14ac:dyDescent="0.25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 x14ac:dyDescent="0.25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 x14ac:dyDescent="0.25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 x14ac:dyDescent="0.25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 x14ac:dyDescent="0.25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 x14ac:dyDescent="0.2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 x14ac:dyDescent="0.25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 x14ac:dyDescent="0.25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 x14ac:dyDescent="0.25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 x14ac:dyDescent="0.25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 x14ac:dyDescent="0.25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 x14ac:dyDescent="0.25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 x14ac:dyDescent="0.25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 x14ac:dyDescent="0.25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 x14ac:dyDescent="0.25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 x14ac:dyDescent="0.25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 x14ac:dyDescent="0.25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 x14ac:dyDescent="0.25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 x14ac:dyDescent="0.25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 x14ac:dyDescent="0.25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 x14ac:dyDescent="0.25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 x14ac:dyDescent="0.25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 x14ac:dyDescent="0.25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 x14ac:dyDescent="0.2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 x14ac:dyDescent="0.25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 x14ac:dyDescent="0.25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 x14ac:dyDescent="0.25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 x14ac:dyDescent="0.25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 x14ac:dyDescent="0.25">
      <c r="A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 x14ac:dyDescent="0.25">
      <c r="A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 x14ac:dyDescent="0.25"/>
    <row r="246" spans="1:24" ht="15.75" customHeight="1" x14ac:dyDescent="0.25"/>
    <row r="247" spans="1:24" ht="15.75" customHeight="1" x14ac:dyDescent="0.25"/>
    <row r="248" spans="1:24" ht="15.75" customHeight="1" x14ac:dyDescent="0.25"/>
    <row r="249" spans="1:24" ht="15.75" customHeight="1" x14ac:dyDescent="0.25"/>
    <row r="250" spans="1:24" ht="15.75" customHeight="1" x14ac:dyDescent="0.25"/>
    <row r="251" spans="1:24" ht="15.75" customHeight="1" x14ac:dyDescent="0.25"/>
    <row r="252" spans="1:24" ht="15.75" customHeight="1" x14ac:dyDescent="0.25"/>
    <row r="253" spans="1:24" ht="15.75" customHeight="1" x14ac:dyDescent="0.25"/>
    <row r="254" spans="1:24" ht="15.75" customHeight="1" x14ac:dyDescent="0.25"/>
    <row r="255" spans="1:24" ht="15.75" customHeight="1" x14ac:dyDescent="0.25"/>
    <row r="256" spans="1:24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">
    <mergeCell ref="B2:C2"/>
    <mergeCell ref="B3:C3"/>
    <mergeCell ref="B42:C42"/>
    <mergeCell ref="G26:H26"/>
  </mergeCells>
  <pageMargins left="0.7" right="0.7" top="0.75" bottom="0.75" header="0" footer="0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kowtha</dc:creator>
  <cp:lastModifiedBy>RAVI VARMA</cp:lastModifiedBy>
  <cp:lastPrinted>2022-01-18T10:06:55Z</cp:lastPrinted>
  <dcterms:created xsi:type="dcterms:W3CDTF">2022-10-20T07:53:44Z</dcterms:created>
  <dcterms:modified xsi:type="dcterms:W3CDTF">2025-06-20T06:56:34Z</dcterms:modified>
</cp:coreProperties>
</file>