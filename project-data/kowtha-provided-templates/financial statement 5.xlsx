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8800" windowHeight="12330" tabRatio="601"/>
  </bookViews>
  <sheets>
    <sheet name="Sheet3" sheetId="9" r:id="rId1"/>
  </sheets>
  <definedNames>
    <definedName name="_xlnm.Print_Area" localSheetId="0">Sheet3!$B$1:$E$31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9"/>
  <c r="H12"/>
  <c r="E17"/>
  <c r="C17"/>
  <c r="C16"/>
  <c r="C11" l="1"/>
  <c r="C10"/>
  <c r="C9"/>
  <c r="E8"/>
  <c r="C12" l="1"/>
  <c r="C14"/>
  <c r="C13"/>
  <c r="H16" l="1"/>
  <c r="H13" l="1"/>
</calcChain>
</file>

<file path=xl/sharedStrings.xml><?xml version="1.0" encoding="utf-8"?>
<sst xmlns="http://schemas.openxmlformats.org/spreadsheetml/2006/main" count="24" uniqueCount="22">
  <si>
    <t>PARTICULARS</t>
  </si>
  <si>
    <t xml:space="preserve"> Estimated </t>
  </si>
  <si>
    <t>Expenditure</t>
  </si>
  <si>
    <t>INCOME</t>
  </si>
  <si>
    <t>To Electricity</t>
  </si>
  <si>
    <t>To Net Profit</t>
  </si>
  <si>
    <t>Total</t>
  </si>
  <si>
    <t>TO monthly</t>
  </si>
  <si>
    <t>Payments Monthly</t>
  </si>
  <si>
    <t>NP monthly</t>
  </si>
  <si>
    <t>GP%</t>
  </si>
  <si>
    <t>NP%</t>
  </si>
  <si>
    <t xml:space="preserve">To Rent </t>
  </si>
  <si>
    <t>To Transport</t>
  </si>
  <si>
    <t>To Other expenses</t>
  </si>
  <si>
    <t xml:space="preserve">To Salaries </t>
  </si>
  <si>
    <t>To Maintenance</t>
  </si>
  <si>
    <t>ESTIMATED PROFIT &amp; LOSS ACCOUNT FOR THE YEAR ENDED 31ST MARCH 2025</t>
  </si>
  <si>
    <t>PROP:  Mr. K. VENKATESH</t>
  </si>
  <si>
    <t>M/S. SRI SAI KISHORE FURNITURE WORLD</t>
  </si>
  <si>
    <t>To Cost of Service</t>
  </si>
  <si>
    <t>By service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</si>
</sst>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64" formatCode="_(* #,##0_);_(* \(#,##0\);_(* &quot;-&quot;_);_(@_)"/>
    <numFmt numFmtId="165" formatCode="_(* #,##0.00_);_(* \(#,##0.00\);_(* &quot;-&quot;??_);_(@_)"/>
    <numFmt numFmtId="166" formatCode="_(* #,##0.00_);_(* \(#,##0.00\);_(* &quot;-&quot;_);_(@_)"/>
  </numFmts>
  <fonts count="6">
    <font>
      <sz val="10"/>
      <name val="Arial"/>
      <charset val="134"/>
    </font>
    <font>
      <b/>
      <sz val="12"/>
      <name val="Cambria"/>
      <family val="1"/>
      <scheme val="major"/>
    </font>
    <font>
      <b/>
      <u/>
      <sz val="12"/>
      <name val="Cambria"/>
      <family val="1"/>
      <scheme val="major"/>
    </font>
    <font>
      <sz val="12"/>
      <name val="Cambria"/>
      <family val="1"/>
      <scheme val="major"/>
    </font>
    <font>
      <b/>
      <sz val="15"/>
      <color theme="1"/>
      <name val="Verdan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165" fontId="5" fillId="0" borderId="0" applyFont="0" applyFill="0" applyBorder="0" applyAlignment="0" applyProtection="0"/>
  </cellStyleXfs>
  <cellXfs count="45">
    <xf numFmtId="0" fontId="0" fillId="0" borderId="0" xfId="0"/>
    <xf numFmtId="164" fontId="1" fillId="0" borderId="0" xfId="0" applyNumberFormat="1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 vertical="top"/>
    </xf>
    <xf numFmtId="164" fontId="1" fillId="0" borderId="1" xfId="1" applyNumberFormat="1" applyFont="1" applyFill="1" applyBorder="1" applyAlignment="1">
      <alignment horizontal="center" vertical="top" wrapText="1"/>
    </xf>
    <xf numFmtId="164" fontId="1" fillId="0" borderId="2" xfId="0" applyNumberFormat="1" applyFont="1" applyFill="1" applyBorder="1" applyAlignment="1">
      <alignment horizontal="center" vertical="top"/>
    </xf>
    <xf numFmtId="164" fontId="2" fillId="0" borderId="3" xfId="0" applyNumberFormat="1" applyFont="1" applyFill="1" applyBorder="1"/>
    <xf numFmtId="164" fontId="3" fillId="0" borderId="3" xfId="0" applyNumberFormat="1" applyFont="1" applyFill="1" applyBorder="1"/>
    <xf numFmtId="164" fontId="2" fillId="0" borderId="4" xfId="0" applyNumberFormat="1" applyFont="1" applyFill="1" applyBorder="1" applyAlignment="1">
      <alignment horizontal="justify"/>
    </xf>
    <xf numFmtId="164" fontId="3" fillId="0" borderId="5" xfId="0" applyNumberFormat="1" applyFont="1" applyFill="1" applyBorder="1"/>
    <xf numFmtId="164" fontId="3" fillId="0" borderId="6" xfId="0" applyNumberFormat="1" applyFont="1" applyFill="1" applyBorder="1" applyAlignment="1">
      <alignment horizontal="justify"/>
    </xf>
    <xf numFmtId="164" fontId="3" fillId="0" borderId="6" xfId="0" applyNumberFormat="1" applyFont="1" applyFill="1" applyBorder="1" applyAlignment="1">
      <alignment horizontal="left"/>
    </xf>
    <xf numFmtId="165" fontId="3" fillId="0" borderId="3" xfId="1" applyNumberFormat="1" applyFont="1" applyFill="1" applyBorder="1" applyAlignment="1">
      <alignment horizontal="right"/>
    </xf>
    <xf numFmtId="164" fontId="3" fillId="0" borderId="7" xfId="0" applyNumberFormat="1" applyFont="1" applyFill="1" applyBorder="1"/>
    <xf numFmtId="164" fontId="1" fillId="0" borderId="7" xfId="0" applyNumberFormat="1" applyFont="1" applyFill="1" applyBorder="1"/>
    <xf numFmtId="165" fontId="1" fillId="0" borderId="1" xfId="0" applyNumberFormat="1" applyFont="1" applyFill="1" applyBorder="1"/>
    <xf numFmtId="164" fontId="1" fillId="0" borderId="2" xfId="0" applyNumberFormat="1" applyFont="1" applyFill="1" applyBorder="1"/>
    <xf numFmtId="0" fontId="4" fillId="0" borderId="0" xfId="0" applyFont="1" applyBorder="1" applyAlignment="1"/>
    <xf numFmtId="166" fontId="3" fillId="0" borderId="0" xfId="0" applyNumberFormat="1" applyFont="1" applyFill="1" applyBorder="1"/>
    <xf numFmtId="164" fontId="3" fillId="0" borderId="0" xfId="0" applyNumberFormat="1" applyFont="1" applyFill="1" applyBorder="1"/>
    <xf numFmtId="164" fontId="3" fillId="0" borderId="0" xfId="1" applyNumberFormat="1" applyFont="1" applyFill="1" applyBorder="1"/>
    <xf numFmtId="0" fontId="4" fillId="0" borderId="0" xfId="0" applyFont="1" applyBorder="1" applyAlignment="1">
      <alignment horizontal="center"/>
    </xf>
    <xf numFmtId="0" fontId="3" fillId="0" borderId="0" xfId="1" applyNumberFormat="1" applyFont="1" applyFill="1" applyBorder="1"/>
    <xf numFmtId="166" fontId="3" fillId="0" borderId="5" xfId="0" applyNumberFormat="1" applyFont="1" applyFill="1" applyBorder="1" applyAlignment="1">
      <alignment horizontal="right"/>
    </xf>
    <xf numFmtId="165" fontId="0" fillId="0" borderId="0" xfId="0" applyNumberFormat="1"/>
    <xf numFmtId="166" fontId="3" fillId="0" borderId="7" xfId="0" applyNumberFormat="1" applyFont="1" applyFill="1" applyBorder="1"/>
    <xf numFmtId="164" fontId="1" fillId="0" borderId="0" xfId="0" applyNumberFormat="1" applyFont="1" applyFill="1" applyBorder="1"/>
    <xf numFmtId="165" fontId="1" fillId="0" borderId="0" xfId="0" applyNumberFormat="1" applyFont="1" applyFill="1" applyBorder="1"/>
    <xf numFmtId="164" fontId="1" fillId="0" borderId="1" xfId="0" applyNumberFormat="1" applyFont="1" applyFill="1" applyBorder="1"/>
    <xf numFmtId="164" fontId="3" fillId="0" borderId="8" xfId="0" applyNumberFormat="1" applyFont="1" applyFill="1" applyBorder="1" applyAlignment="1">
      <alignment horizontal="justify"/>
    </xf>
    <xf numFmtId="166" fontId="3" fillId="0" borderId="7" xfId="0" applyNumberFormat="1" applyFont="1" applyFill="1" applyBorder="1" applyAlignment="1">
      <alignment horizontal="right"/>
    </xf>
    <xf numFmtId="0" fontId="5" fillId="0" borderId="9" xfId="0" applyFont="1" applyBorder="1"/>
    <xf numFmtId="165" fontId="0" fillId="0" borderId="9" xfId="0" applyNumberFormat="1" applyBorder="1"/>
    <xf numFmtId="165" fontId="5" fillId="0" borderId="9" xfId="0" applyNumberFormat="1" applyFont="1" applyBorder="1"/>
    <xf numFmtId="43" fontId="0" fillId="0" borderId="9" xfId="0" applyNumberFormat="1" applyBorder="1"/>
    <xf numFmtId="0" fontId="0" fillId="0" borderId="9" xfId="0" applyBorder="1"/>
    <xf numFmtId="165" fontId="3" fillId="0" borderId="10" xfId="1" applyFont="1" applyFill="1" applyBorder="1"/>
    <xf numFmtId="43" fontId="3" fillId="0" borderId="10" xfId="0" applyNumberFormat="1" applyFont="1" applyFill="1" applyBorder="1"/>
    <xf numFmtId="164" fontId="1" fillId="0" borderId="11" xfId="1" applyNumberFormat="1" applyFont="1" applyFill="1" applyBorder="1" applyAlignment="1">
      <alignment horizontal="center" vertical="top" wrapText="1"/>
    </xf>
    <xf numFmtId="164" fontId="3" fillId="0" borderId="10" xfId="0" applyNumberFormat="1" applyFont="1" applyFill="1" applyBorder="1"/>
    <xf numFmtId="43" fontId="3" fillId="0" borderId="12" xfId="0" applyNumberFormat="1" applyFont="1" applyFill="1" applyBorder="1"/>
    <xf numFmtId="165" fontId="1" fillId="0" borderId="11" xfId="0" applyNumberFormat="1" applyFont="1" applyFill="1" applyBorder="1"/>
    <xf numFmtId="0" fontId="5" fillId="0" borderId="0" xfId="0" applyFont="1" applyFill="1" applyBorder="1"/>
    <xf numFmtId="0" fontId="0" fillId="0" borderId="0" xfId="0" applyBorder="1"/>
    <xf numFmtId="165" fontId="0" fillId="0" borderId="0" xfId="0" applyNumberFormat="1" applyBorder="1"/>
    <xf numFmtId="164" fontId="1" fillId="0" borderId="0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18</xdr:row>
      <xdr:rowOff>0</xdr:rowOff>
    </xdr:from>
    <xdr:to>
      <xdr:col>2</xdr:col>
      <xdr:colOff>517525</xdr:colOff>
      <xdr:row>28</xdr:row>
      <xdr:rowOff>7621</xdr:rowOff>
    </xdr:to>
    <xdr:pic>
      <xdr:nvPicPr>
        <xdr:cNvPr id="2" name="Picture 1" descr="SIR SIGN NEW.jp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47725" y="4591050"/>
          <a:ext cx="3041650" cy="23317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7"/>
  <sheetViews>
    <sheetView tabSelected="1" view="pageBreakPreview" zoomScaleSheetLayoutView="100" workbookViewId="0">
      <selection activeCell="D13" sqref="D13"/>
    </sheetView>
  </sheetViews>
  <sheetFormatPr defaultColWidth="9" defaultRowHeight="12.75"/>
  <cols>
    <col min="2" max="2" width="41.5703125" customWidth="1"/>
    <col min="3" max="3" width="24.7109375" customWidth="1"/>
    <col min="4" max="4" width="24.85546875" customWidth="1"/>
    <col min="5" max="5" width="24.7109375" customWidth="1"/>
    <col min="6" max="6" width="15.5703125" customWidth="1"/>
    <col min="7" max="7" width="16.7109375" bestFit="1" customWidth="1"/>
    <col min="8" max="8" width="13.140625" customWidth="1"/>
    <col min="9" max="9" width="13.28515625" customWidth="1"/>
    <col min="11" max="11" width="9.5703125" bestFit="1" customWidth="1"/>
  </cols>
  <sheetData>
    <row r="2" spans="2:9" ht="15.75">
      <c r="B2" s="44" t="s">
        <v>19</v>
      </c>
      <c r="C2" s="44"/>
      <c r="D2" s="44"/>
      <c r="E2" s="44"/>
    </row>
    <row r="3" spans="2:9" ht="15.75">
      <c r="B3" s="44" t="s">
        <v>18</v>
      </c>
      <c r="C3" s="44"/>
      <c r="D3" s="44"/>
      <c r="E3" s="44"/>
    </row>
    <row r="4" spans="2:9" ht="15.75">
      <c r="B4" s="44" t="s">
        <v>17</v>
      </c>
      <c r="C4" s="44"/>
      <c r="D4" s="44"/>
      <c r="E4" s="44"/>
    </row>
    <row r="5" spans="2:9" ht="14.25" customHeight="1" thickBot="1">
      <c r="B5" s="1"/>
      <c r="C5" s="1"/>
      <c r="D5" s="1"/>
      <c r="E5" s="1"/>
    </row>
    <row r="6" spans="2:9" ht="44.25" customHeight="1" thickBot="1">
      <c r="B6" s="2" t="s">
        <v>0</v>
      </c>
      <c r="C6" s="37" t="s">
        <v>1</v>
      </c>
      <c r="D6" s="4" t="s">
        <v>0</v>
      </c>
      <c r="E6" s="3" t="s">
        <v>1</v>
      </c>
    </row>
    <row r="7" spans="2:9" ht="15.75">
      <c r="B7" s="5" t="s">
        <v>2</v>
      </c>
      <c r="C7" s="38"/>
      <c r="D7" s="7" t="s">
        <v>3</v>
      </c>
      <c r="E7" s="6"/>
    </row>
    <row r="8" spans="2:9" ht="15.75" customHeight="1">
      <c r="B8" s="8" t="s">
        <v>20</v>
      </c>
      <c r="C8" s="36">
        <v>5000000</v>
      </c>
      <c r="D8" s="9" t="s">
        <v>21</v>
      </c>
      <c r="E8" s="22">
        <f>1000000*12</f>
        <v>12000000</v>
      </c>
      <c r="F8" s="23"/>
    </row>
    <row r="9" spans="2:9" ht="16.5" customHeight="1">
      <c r="B9" s="8" t="s">
        <v>12</v>
      </c>
      <c r="C9" s="35">
        <f>17000*12</f>
        <v>204000</v>
      </c>
      <c r="D9" s="10"/>
      <c r="E9" s="11"/>
      <c r="G9" s="41"/>
      <c r="H9" s="42"/>
      <c r="I9" s="42"/>
    </row>
    <row r="10" spans="2:9" ht="16.5" customHeight="1">
      <c r="B10" s="8" t="s">
        <v>15</v>
      </c>
      <c r="C10" s="35">
        <f>80000*12</f>
        <v>960000</v>
      </c>
      <c r="D10" s="10"/>
      <c r="E10" s="11"/>
      <c r="G10" s="41"/>
      <c r="H10" s="42"/>
      <c r="I10" s="42"/>
    </row>
    <row r="11" spans="2:9" ht="16.5" customHeight="1">
      <c r="B11" s="8" t="s">
        <v>4</v>
      </c>
      <c r="C11" s="35">
        <f>3000*12</f>
        <v>36000</v>
      </c>
      <c r="D11" s="10"/>
      <c r="E11" s="11"/>
      <c r="G11" s="41"/>
      <c r="H11" s="42"/>
      <c r="I11" s="42"/>
    </row>
    <row r="12" spans="2:9" ht="15.75">
      <c r="B12" s="8" t="s">
        <v>13</v>
      </c>
      <c r="C12" s="35">
        <f>30000*12</f>
        <v>360000</v>
      </c>
      <c r="D12" s="10"/>
      <c r="E12" s="11"/>
      <c r="G12" s="30" t="s">
        <v>7</v>
      </c>
      <c r="H12" s="31">
        <f>+E8/12</f>
        <v>1000000</v>
      </c>
      <c r="I12" s="42"/>
    </row>
    <row r="13" spans="2:9" ht="15.75">
      <c r="B13" s="8" t="s">
        <v>16</v>
      </c>
      <c r="C13" s="36">
        <f>10000*12</f>
        <v>120000</v>
      </c>
      <c r="D13" s="9"/>
      <c r="E13" s="22"/>
      <c r="G13" s="30" t="s">
        <v>8</v>
      </c>
      <c r="H13" s="32">
        <f>H12-H14</f>
        <v>566666.66666666674</v>
      </c>
      <c r="I13" s="42"/>
    </row>
    <row r="14" spans="2:9" ht="15.75">
      <c r="B14" s="12" t="s">
        <v>14</v>
      </c>
      <c r="C14" s="36">
        <f>10000*12</f>
        <v>120000</v>
      </c>
      <c r="D14" s="9"/>
      <c r="E14" s="24"/>
      <c r="G14" s="30" t="s">
        <v>9</v>
      </c>
      <c r="H14" s="31">
        <f>+C16/12</f>
        <v>433333.33333333331</v>
      </c>
      <c r="I14" s="42"/>
    </row>
    <row r="15" spans="2:9" ht="15.75">
      <c r="B15" s="12"/>
      <c r="C15" s="36"/>
      <c r="D15" s="9"/>
      <c r="E15" s="24"/>
      <c r="G15" s="30" t="s">
        <v>10</v>
      </c>
      <c r="H15" s="33"/>
      <c r="I15" s="42"/>
    </row>
    <row r="16" spans="2:9" ht="16.5" thickBot="1">
      <c r="B16" s="13" t="s">
        <v>5</v>
      </c>
      <c r="C16" s="39">
        <f>+E8-SUM(C8:C14)</f>
        <v>5200000</v>
      </c>
      <c r="D16" s="28"/>
      <c r="E16" s="29"/>
      <c r="G16" s="30" t="s">
        <v>11</v>
      </c>
      <c r="H16" s="34">
        <f>C16/E8</f>
        <v>0.43333333333333335</v>
      </c>
      <c r="I16" s="42"/>
    </row>
    <row r="17" spans="2:10" ht="16.5" thickBot="1">
      <c r="B17" s="27" t="s">
        <v>6</v>
      </c>
      <c r="C17" s="40">
        <f>+SUM(C8:C16)</f>
        <v>12000000</v>
      </c>
      <c r="D17" s="15"/>
      <c r="E17" s="14">
        <f>+E8</f>
        <v>12000000</v>
      </c>
      <c r="G17" s="41"/>
      <c r="H17" s="42"/>
      <c r="I17" s="42"/>
    </row>
    <row r="18" spans="2:10" ht="15.75">
      <c r="B18" s="25"/>
      <c r="C18" s="26"/>
      <c r="D18" s="25"/>
      <c r="E18" s="26"/>
      <c r="G18" s="41"/>
      <c r="H18" s="42"/>
      <c r="I18" s="42"/>
    </row>
    <row r="19" spans="2:10" ht="20.25">
      <c r="B19" s="16"/>
      <c r="C19" s="17"/>
      <c r="D19" s="17"/>
      <c r="E19" s="18"/>
      <c r="G19" s="41"/>
      <c r="H19" s="43"/>
      <c r="I19" s="42"/>
    </row>
    <row r="20" spans="2:10" ht="20.25">
      <c r="B20" s="16"/>
      <c r="C20" s="19"/>
      <c r="D20" s="18"/>
      <c r="E20" s="18"/>
      <c r="G20" s="41"/>
      <c r="H20" s="43"/>
      <c r="I20" s="42"/>
    </row>
    <row r="21" spans="2:10" ht="20.25">
      <c r="B21" s="16"/>
      <c r="C21" s="19"/>
      <c r="D21" s="18"/>
      <c r="E21" s="18"/>
      <c r="G21" s="41"/>
      <c r="H21" s="43"/>
      <c r="I21" s="42"/>
    </row>
    <row r="22" spans="2:10" ht="20.25">
      <c r="B22" s="20"/>
      <c r="C22" s="19"/>
      <c r="D22" s="18"/>
      <c r="E22" s="18"/>
      <c r="G22" s="41"/>
      <c r="H22" s="42"/>
      <c r="I22" s="42"/>
    </row>
    <row r="23" spans="2:10" ht="20.25">
      <c r="B23" s="16"/>
      <c r="C23" s="19"/>
      <c r="D23" s="18"/>
      <c r="E23" s="18"/>
    </row>
    <row r="24" spans="2:10" ht="20.25">
      <c r="B24" s="16"/>
      <c r="C24" s="21"/>
      <c r="D24" s="18"/>
      <c r="E24" s="18"/>
    </row>
    <row r="25" spans="2:10" ht="20.25">
      <c r="B25" s="16"/>
      <c r="C25" s="19"/>
      <c r="D25" s="18"/>
      <c r="E25" s="18"/>
      <c r="H25" s="23"/>
      <c r="J25" s="23"/>
    </row>
    <row r="26" spans="2:10" ht="15.75">
      <c r="C26" s="19"/>
      <c r="D26" s="18"/>
      <c r="E26" s="18"/>
    </row>
    <row r="27" spans="2:10">
      <c r="H27" s="23"/>
      <c r="J27" s="23"/>
    </row>
  </sheetData>
  <mergeCells count="3">
    <mergeCell ref="B2:E2"/>
    <mergeCell ref="B3:E3"/>
    <mergeCell ref="B4:E4"/>
  </mergeCells>
  <pageMargins left="0.7" right="0.7" top="0.75" bottom="0.75" header="0.3" footer="0.3"/>
  <pageSetup paperSize="9" scale="5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Sheet3</vt:lpstr>
      <vt:lpstr>Sheet3!Print_Area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win98</dc:creator>
  <cp:lastModifiedBy>RAJA</cp:lastModifiedBy>
  <cp:lastPrinted>2021-10-28T12:23:44Z</cp:lastPrinted>
  <dcterms:created xsi:type="dcterms:W3CDTF">2004-10-06T10:01:00Z</dcterms:created>
  <dcterms:modified xsi:type="dcterms:W3CDTF">2025-06-20T11:12:45Z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1B8ADD9ECBE4497BAC835A9FCD53C7B2</vt:lpwstr>
  </property>
  <property fmtid="{D5CDD505-2E9C-101B-9397-08002B2CF9AE}" pid="3" name="KSOProductBuildVer">
    <vt:lpwstr>1033-11.2.0.10323</vt:lpwstr>
  </property>
</Properties>
</file>