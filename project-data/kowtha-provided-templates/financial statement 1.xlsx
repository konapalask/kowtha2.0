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VI VARMA\Desktop\PD FORMATS\"/>
    </mc:Choice>
  </mc:AlternateContent>
  <bookViews>
    <workbookView xWindow="0" yWindow="0" windowWidth="28800" windowHeight="11130" tabRatio="601"/>
  </bookViews>
  <sheets>
    <sheet name="Sheet3" sheetId="9" r:id="rId1"/>
  </sheets>
  <definedNames>
    <definedName name="_xlnm.Print_Area" localSheetId="0">Sheet3!$D$1:$G$33</definedName>
  </definedNam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9" l="1"/>
  <c r="G8" i="9"/>
  <c r="E9" i="9" s="1"/>
  <c r="E15" i="9" l="1"/>
  <c r="E14" i="9"/>
  <c r="E13" i="9" l="1"/>
  <c r="E16" i="9"/>
  <c r="G10" i="9" l="1"/>
  <c r="M27" i="9"/>
  <c r="M28" i="9" s="1"/>
  <c r="J27" i="9"/>
  <c r="J28" i="9" s="1"/>
  <c r="J7" i="9" l="1"/>
  <c r="G11" i="9" l="1"/>
  <c r="E10" i="9" s="1"/>
  <c r="G12" i="9" l="1"/>
  <c r="T31" i="9"/>
  <c r="V32" i="9" s="1"/>
  <c r="J10" i="9" l="1"/>
  <c r="E11" i="9"/>
  <c r="G19" i="9"/>
  <c r="J11" i="9" l="1"/>
  <c r="E19" i="9"/>
  <c r="J9" i="9" l="1"/>
  <c r="J8" i="9" s="1"/>
</calcChain>
</file>

<file path=xl/sharedStrings.xml><?xml version="1.0" encoding="utf-8"?>
<sst xmlns="http://schemas.openxmlformats.org/spreadsheetml/2006/main" count="59" uniqueCount="42">
  <si>
    <t>PARTICULARS</t>
  </si>
  <si>
    <t xml:space="preserve"> Estimated </t>
  </si>
  <si>
    <t>Expenditure</t>
  </si>
  <si>
    <t>INCOME</t>
  </si>
  <si>
    <t>To Opening stock</t>
  </si>
  <si>
    <t>By closing Stock</t>
  </si>
  <si>
    <t>To Gross Profit</t>
  </si>
  <si>
    <t>Grand Total</t>
  </si>
  <si>
    <t>To Indirect Expenses</t>
  </si>
  <si>
    <t>By Gross Profit</t>
  </si>
  <si>
    <t>To Net Profit</t>
  </si>
  <si>
    <t>Total</t>
  </si>
  <si>
    <t>TO monthly</t>
  </si>
  <si>
    <t>Payments Monthly</t>
  </si>
  <si>
    <t>NP monthly</t>
  </si>
  <si>
    <t>GP%</t>
  </si>
  <si>
    <t>NP%</t>
  </si>
  <si>
    <t>To Other expenses</t>
  </si>
  <si>
    <t xml:space="preserve">To Electricity </t>
  </si>
  <si>
    <t>By Sales</t>
  </si>
  <si>
    <t xml:space="preserve">To  Purchases </t>
  </si>
  <si>
    <t xml:space="preserve">      </t>
  </si>
  <si>
    <t xml:space="preserve">April </t>
  </si>
  <si>
    <t>May</t>
  </si>
  <si>
    <t>June</t>
  </si>
  <si>
    <t xml:space="preserve">July </t>
  </si>
  <si>
    <t xml:space="preserve">August </t>
  </si>
  <si>
    <t>September</t>
  </si>
  <si>
    <t>October</t>
  </si>
  <si>
    <t>November</t>
  </si>
  <si>
    <t>December</t>
  </si>
  <si>
    <t xml:space="preserve">January </t>
  </si>
  <si>
    <t>February</t>
  </si>
  <si>
    <t xml:space="preserve">March </t>
  </si>
  <si>
    <t xml:space="preserve">Total </t>
  </si>
  <si>
    <t>GST (2023-2024)</t>
  </si>
  <si>
    <t>GST(2024-2025)</t>
  </si>
  <si>
    <t xml:space="preserve">To Transportation </t>
  </si>
  <si>
    <t>Estimated Profit &amp; Loss Account For The Year Ended 31st March 2026</t>
  </si>
  <si>
    <t xml:space="preserve">To Rent </t>
  </si>
  <si>
    <t>M/s. xxxxxx</t>
  </si>
  <si>
    <t xml:space="preserve">   Proprietor : 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</si>
</sst>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</numFmts>
  <fonts count="9">
    <font>
      <sz val="10"/>
      <name val="Arial"/>
      <charset val="134"/>
    </font>
    <font>
      <b/>
      <sz val="12"/>
      <name val="Cambria"/>
      <family val="1"/>
      <scheme val="major"/>
    </font>
    <font>
      <b/>
      <u/>
      <sz val="12"/>
      <name val="Cambria"/>
      <family val="1"/>
      <scheme val="major"/>
    </font>
    <font>
      <sz val="12"/>
      <name val="Cambria"/>
      <family val="1"/>
      <scheme val="major"/>
    </font>
    <font>
      <b/>
      <sz val="15"/>
      <color theme="1"/>
      <name val="Verdana"/>
      <family val="2"/>
    </font>
    <font>
      <sz val="10"/>
      <name val="Arial"/>
      <family val="2"/>
    </font>
    <font>
      <b/>
      <sz val="13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auto="1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165" fontId="5" fillId="0" borderId="0" applyFont="0" applyFill="0" applyBorder="0" applyAlignment="0" applyProtection="0"/>
  </cellStyleXfs>
  <cellXfs count="87">
    <xf numFmtId="0" fontId="0" fillId="0" borderId="0" xfId="0"/>
    <xf numFmtId="164" fontId="1" fillId="0" borderId="0" xfId="0" applyNumberFormat="1" applyFont="1" applyFill="1" applyBorder="1" applyAlignment="1">
      <alignment horizontal="center"/>
    </xf>
    <xf numFmtId="164" fontId="3" fillId="0" borderId="2" xfId="0" applyNumberFormat="1" applyFont="1" applyFill="1" applyBorder="1"/>
    <xf numFmtId="164" fontId="3" fillId="0" borderId="3" xfId="0" applyNumberFormat="1" applyFont="1" applyFill="1" applyBorder="1"/>
    <xf numFmtId="43" fontId="3" fillId="0" borderId="2" xfId="0" applyNumberFormat="1" applyFont="1" applyFill="1" applyBorder="1"/>
    <xf numFmtId="166" fontId="1" fillId="0" borderId="1" xfId="0" applyNumberFormat="1" applyFont="1" applyFill="1" applyBorder="1"/>
    <xf numFmtId="165" fontId="3" fillId="0" borderId="2" xfId="1" applyFont="1" applyFill="1" applyBorder="1"/>
    <xf numFmtId="164" fontId="3" fillId="0" borderId="4" xfId="0" applyNumberFormat="1" applyFont="1" applyFill="1" applyBorder="1"/>
    <xf numFmtId="0" fontId="4" fillId="0" borderId="0" xfId="0" applyFont="1" applyBorder="1" applyAlignment="1"/>
    <xf numFmtId="166" fontId="3" fillId="0" borderId="0" xfId="0" applyNumberFormat="1" applyFont="1" applyFill="1" applyBorder="1"/>
    <xf numFmtId="164" fontId="3" fillId="0" borderId="0" xfId="0" applyNumberFormat="1" applyFont="1" applyFill="1" applyBorder="1"/>
    <xf numFmtId="164" fontId="3" fillId="0" borderId="0" xfId="1" applyNumberFormat="1" applyFont="1" applyFill="1" applyBorder="1"/>
    <xf numFmtId="0" fontId="3" fillId="0" borderId="0" xfId="1" applyNumberFormat="1" applyFont="1" applyFill="1" applyBorder="1"/>
    <xf numFmtId="165" fontId="0" fillId="0" borderId="0" xfId="0" applyNumberFormat="1"/>
    <xf numFmtId="43" fontId="0" fillId="0" borderId="0" xfId="0" applyNumberFormat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165" fontId="3" fillId="0" borderId="4" xfId="0" applyNumberFormat="1" applyFont="1" applyFill="1" applyBorder="1"/>
    <xf numFmtId="164" fontId="1" fillId="0" borderId="2" xfId="0" applyNumberFormat="1" applyFont="1" applyFill="1" applyBorder="1"/>
    <xf numFmtId="164" fontId="1" fillId="0" borderId="1" xfId="0" applyNumberFormat="1" applyFont="1" applyFill="1" applyBorder="1"/>
    <xf numFmtId="166" fontId="0" fillId="0" borderId="0" xfId="0" applyNumberFormat="1"/>
    <xf numFmtId="0" fontId="5" fillId="0" borderId="0" xfId="0" applyFont="1"/>
    <xf numFmtId="0" fontId="5" fillId="0" borderId="0" xfId="0" applyFont="1" applyAlignment="1">
      <alignment wrapText="1"/>
    </xf>
    <xf numFmtId="0" fontId="0" fillId="0" borderId="0" xfId="0" applyBorder="1"/>
    <xf numFmtId="166" fontId="3" fillId="0" borderId="0" xfId="0" applyNumberFormat="1" applyFont="1" applyFill="1" applyBorder="1" applyAlignment="1">
      <alignment horizontal="right"/>
    </xf>
    <xf numFmtId="164" fontId="3" fillId="0" borderId="5" xfId="0" applyNumberFormat="1" applyFont="1" applyFill="1" applyBorder="1" applyAlignment="1">
      <alignment horizontal="justify"/>
    </xf>
    <xf numFmtId="0" fontId="6" fillId="0" borderId="0" xfId="0" applyFont="1"/>
    <xf numFmtId="164" fontId="1" fillId="0" borderId="8" xfId="0" applyNumberFormat="1" applyFont="1" applyFill="1" applyBorder="1"/>
    <xf numFmtId="165" fontId="1" fillId="0" borderId="8" xfId="0" applyNumberFormat="1" applyFont="1" applyFill="1" applyBorder="1"/>
    <xf numFmtId="164" fontId="3" fillId="0" borderId="1" xfId="0" applyNumberFormat="1" applyFont="1" applyFill="1" applyBorder="1"/>
    <xf numFmtId="164" fontId="3" fillId="0" borderId="9" xfId="0" applyNumberFormat="1" applyFont="1" applyFill="1" applyBorder="1"/>
    <xf numFmtId="165" fontId="1" fillId="0" borderId="10" xfId="0" applyNumberFormat="1" applyFont="1" applyFill="1" applyBorder="1"/>
    <xf numFmtId="164" fontId="1" fillId="0" borderId="11" xfId="0" applyNumberFormat="1" applyFont="1" applyFill="1" applyBorder="1"/>
    <xf numFmtId="166" fontId="3" fillId="0" borderId="5" xfId="0" applyNumberFormat="1" applyFont="1" applyFill="1" applyBorder="1" applyAlignment="1">
      <alignment horizontal="right"/>
    </xf>
    <xf numFmtId="165" fontId="3" fillId="0" borderId="5" xfId="1" applyNumberFormat="1" applyFont="1" applyFill="1" applyBorder="1" applyAlignment="1">
      <alignment horizontal="right"/>
    </xf>
    <xf numFmtId="166" fontId="3" fillId="0" borderId="5" xfId="0" applyNumberFormat="1" applyFont="1" applyFill="1" applyBorder="1"/>
    <xf numFmtId="166" fontId="3" fillId="0" borderId="12" xfId="0" applyNumberFormat="1" applyFont="1" applyFill="1" applyBorder="1" applyAlignment="1">
      <alignment horizontal="right"/>
    </xf>
    <xf numFmtId="164" fontId="1" fillId="0" borderId="10" xfId="0" applyNumberFormat="1" applyFont="1" applyFill="1" applyBorder="1"/>
    <xf numFmtId="0" fontId="0" fillId="0" borderId="5" xfId="0" applyBorder="1"/>
    <xf numFmtId="164" fontId="3" fillId="0" borderId="5" xfId="0" applyNumberFormat="1" applyFont="1" applyFill="1" applyBorder="1" applyAlignment="1">
      <alignment horizontal="left"/>
    </xf>
    <xf numFmtId="164" fontId="3" fillId="0" borderId="12" xfId="0" applyNumberFormat="1" applyFont="1" applyFill="1" applyBorder="1" applyAlignment="1">
      <alignment horizontal="justify"/>
    </xf>
    <xf numFmtId="43" fontId="3" fillId="0" borderId="3" xfId="0" applyNumberFormat="1" applyFont="1" applyFill="1" applyBorder="1"/>
    <xf numFmtId="165" fontId="3" fillId="0" borderId="3" xfId="1" applyFont="1" applyFill="1" applyBorder="1"/>
    <xf numFmtId="165" fontId="3" fillId="0" borderId="11" xfId="1" applyFont="1" applyFill="1" applyBorder="1"/>
    <xf numFmtId="164" fontId="1" fillId="0" borderId="7" xfId="0" applyNumberFormat="1" applyFont="1" applyFill="1" applyBorder="1" applyAlignment="1">
      <alignment horizontal="center" vertical="top"/>
    </xf>
    <xf numFmtId="164" fontId="1" fillId="0" borderId="7" xfId="1" applyNumberFormat="1" applyFont="1" applyFill="1" applyBorder="1" applyAlignment="1">
      <alignment horizontal="center" vertical="top" wrapText="1"/>
    </xf>
    <xf numFmtId="164" fontId="1" fillId="0" borderId="13" xfId="0" applyNumberFormat="1" applyFont="1" applyFill="1" applyBorder="1" applyAlignment="1">
      <alignment horizontal="center" vertical="top"/>
    </xf>
    <xf numFmtId="164" fontId="1" fillId="0" borderId="13" xfId="1" applyNumberFormat="1" applyFont="1" applyFill="1" applyBorder="1" applyAlignment="1">
      <alignment horizontal="center" vertical="top" wrapText="1"/>
    </xf>
    <xf numFmtId="164" fontId="3" fillId="0" borderId="14" xfId="0" applyNumberFormat="1" applyFont="1" applyFill="1" applyBorder="1" applyAlignment="1">
      <alignment horizontal="left" vertical="top"/>
    </xf>
    <xf numFmtId="166" fontId="3" fillId="0" borderId="14" xfId="0" applyNumberFormat="1" applyFont="1" applyFill="1" applyBorder="1" applyAlignment="1">
      <alignment horizontal="right"/>
    </xf>
    <xf numFmtId="164" fontId="2" fillId="0" borderId="1" xfId="0" applyNumberFormat="1" applyFont="1" applyFill="1" applyBorder="1"/>
    <xf numFmtId="164" fontId="2" fillId="0" borderId="9" xfId="0" applyNumberFormat="1" applyFont="1" applyFill="1" applyBorder="1" applyAlignment="1">
      <alignment horizontal="justify"/>
    </xf>
    <xf numFmtId="164" fontId="3" fillId="0" borderId="6" xfId="0" applyNumberFormat="1" applyFont="1" applyFill="1" applyBorder="1" applyAlignment="1">
      <alignment horizontal="justify"/>
    </xf>
    <xf numFmtId="43" fontId="3" fillId="0" borderId="6" xfId="0" applyNumberFormat="1" applyFont="1" applyFill="1" applyBorder="1"/>
    <xf numFmtId="164" fontId="3" fillId="0" borderId="14" xfId="0" applyNumberFormat="1" applyFont="1" applyFill="1" applyBorder="1" applyAlignment="1">
      <alignment horizontal="left"/>
    </xf>
    <xf numFmtId="164" fontId="1" fillId="0" borderId="9" xfId="0" applyNumberFormat="1" applyFont="1" applyFill="1" applyBorder="1"/>
    <xf numFmtId="166" fontId="1" fillId="0" borderId="9" xfId="0" applyNumberFormat="1" applyFont="1" applyFill="1" applyBorder="1"/>
    <xf numFmtId="0" fontId="7" fillId="0" borderId="7" xfId="0" applyFont="1" applyBorder="1"/>
    <xf numFmtId="165" fontId="7" fillId="0" borderId="13" xfId="0" applyNumberFormat="1" applyFont="1" applyBorder="1"/>
    <xf numFmtId="0" fontId="7" fillId="0" borderId="1" xfId="0" applyFont="1" applyBorder="1"/>
    <xf numFmtId="165" fontId="7" fillId="0" borderId="9" xfId="0" applyNumberFormat="1" applyFont="1" applyBorder="1"/>
    <xf numFmtId="0" fontId="7" fillId="0" borderId="17" xfId="0" applyFont="1" applyBorder="1"/>
    <xf numFmtId="165" fontId="7" fillId="0" borderId="18" xfId="0" applyNumberFormat="1" applyFont="1" applyBorder="1"/>
    <xf numFmtId="43" fontId="7" fillId="0" borderId="9" xfId="0" applyNumberFormat="1" applyFont="1" applyBorder="1"/>
    <xf numFmtId="0" fontId="7" fillId="0" borderId="8" xfId="0" applyFont="1" applyBorder="1"/>
    <xf numFmtId="0" fontId="7" fillId="0" borderId="10" xfId="0" applyNumberFormat="1" applyFont="1" applyBorder="1"/>
    <xf numFmtId="0" fontId="7" fillId="0" borderId="15" xfId="0" applyFont="1" applyBorder="1"/>
    <xf numFmtId="0" fontId="7" fillId="0" borderId="19" xfId="0" applyFont="1" applyBorder="1"/>
    <xf numFmtId="17" fontId="7" fillId="0" borderId="19" xfId="0" applyNumberFormat="1" applyFont="1" applyFill="1" applyBorder="1"/>
    <xf numFmtId="17" fontId="7" fillId="0" borderId="20" xfId="0" applyNumberFormat="1" applyFont="1" applyFill="1" applyBorder="1"/>
    <xf numFmtId="17" fontId="7" fillId="0" borderId="15" xfId="0" applyNumberFormat="1" applyFont="1" applyFill="1" applyBorder="1"/>
    <xf numFmtId="0" fontId="7" fillId="0" borderId="20" xfId="0" applyFont="1" applyBorder="1"/>
    <xf numFmtId="0" fontId="7" fillId="0" borderId="16" xfId="0" applyFont="1" applyBorder="1"/>
    <xf numFmtId="17" fontId="7" fillId="0" borderId="8" xfId="0" applyNumberFormat="1" applyFont="1" applyFill="1" applyBorder="1"/>
    <xf numFmtId="17" fontId="7" fillId="0" borderId="17" xfId="0" applyNumberFormat="1" applyFont="1" applyFill="1" applyBorder="1"/>
    <xf numFmtId="17" fontId="7" fillId="0" borderId="1" xfId="0" applyNumberFormat="1" applyFont="1" applyFill="1" applyBorder="1"/>
    <xf numFmtId="4" fontId="7" fillId="0" borderId="7" xfId="0" applyNumberFormat="1" applyFont="1" applyBorder="1"/>
    <xf numFmtId="4" fontId="7" fillId="0" borderId="1" xfId="0" applyNumberFormat="1" applyFont="1" applyBorder="1" applyAlignment="1"/>
    <xf numFmtId="4" fontId="7" fillId="0" borderId="8" xfId="0" applyNumberFormat="1" applyFont="1" applyBorder="1" applyAlignment="1"/>
    <xf numFmtId="4" fontId="7" fillId="0" borderId="17" xfId="0" applyNumberFormat="1" applyFont="1" applyBorder="1" applyAlignment="1"/>
    <xf numFmtId="4" fontId="7" fillId="0" borderId="1" xfId="0" applyNumberFormat="1" applyFont="1" applyBorder="1"/>
    <xf numFmtId="4" fontId="7" fillId="0" borderId="17" xfId="0" applyNumberFormat="1" applyFont="1" applyBorder="1"/>
    <xf numFmtId="4" fontId="7" fillId="0" borderId="8" xfId="0" applyNumberFormat="1" applyFont="1" applyBorder="1"/>
    <xf numFmtId="4" fontId="8" fillId="0" borderId="17" xfId="0" applyNumberFormat="1" applyFont="1" applyBorder="1"/>
    <xf numFmtId="164" fontId="1" fillId="0" borderId="0" xfId="0" applyNumberFormat="1" applyFont="1" applyFill="1" applyBorder="1" applyAlignment="1">
      <alignment horizontal="center"/>
    </xf>
    <xf numFmtId="0" fontId="7" fillId="0" borderId="16" xfId="0" applyFont="1" applyFill="1" applyBorder="1" applyAlignment="1">
      <alignment horizontal="center"/>
    </xf>
    <xf numFmtId="0" fontId="7" fillId="0" borderId="13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19</xdr:row>
      <xdr:rowOff>38100</xdr:rowOff>
    </xdr:from>
    <xdr:to>
      <xdr:col>4</xdr:col>
      <xdr:colOff>532848</xdr:colOff>
      <xdr:row>29</xdr:row>
      <xdr:rowOff>60630</xdr:rowOff>
    </xdr:to>
    <xdr:pic>
      <xdr:nvPicPr>
        <xdr:cNvPr id="3" name="Picture 2" descr="SIR SIGN NEW.jpg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57375" y="4448175"/>
          <a:ext cx="2609298" cy="2232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V32"/>
  <sheetViews>
    <sheetView tabSelected="1" view="pageBreakPreview" topLeftCell="B1" zoomScaleSheetLayoutView="100" workbookViewId="0">
      <selection activeCell="K12" sqref="K12"/>
    </sheetView>
  </sheetViews>
  <sheetFormatPr defaultColWidth="9" defaultRowHeight="12.75"/>
  <cols>
    <col min="3" max="3" width="9.140625" customWidth="1"/>
    <col min="4" max="4" width="31.85546875" customWidth="1"/>
    <col min="5" max="5" width="24.7109375" customWidth="1"/>
    <col min="6" max="6" width="34.28515625" customWidth="1"/>
    <col min="7" max="7" width="24.7109375" customWidth="1"/>
    <col min="8" max="8" width="15.5703125" customWidth="1"/>
    <col min="9" max="9" width="15" customWidth="1"/>
    <col min="10" max="10" width="18" customWidth="1"/>
    <col min="11" max="11" width="12.28515625" bestFit="1" customWidth="1"/>
    <col min="12" max="12" width="15.5703125" customWidth="1"/>
    <col min="13" max="13" width="18.140625" customWidth="1"/>
  </cols>
  <sheetData>
    <row r="2" spans="4:13" ht="15.75" customHeight="1">
      <c r="D2" s="84" t="s">
        <v>40</v>
      </c>
      <c r="E2" s="84"/>
      <c r="F2" s="84"/>
      <c r="G2" s="84"/>
    </row>
    <row r="3" spans="4:13" ht="15.75" customHeight="1">
      <c r="D3" s="84" t="s">
        <v>41</v>
      </c>
      <c r="E3" s="84"/>
      <c r="F3" s="84"/>
      <c r="G3" s="84"/>
    </row>
    <row r="4" spans="4:13" ht="15.75">
      <c r="D4" s="84" t="s">
        <v>38</v>
      </c>
      <c r="E4" s="84"/>
      <c r="F4" s="84"/>
      <c r="G4" s="84"/>
      <c r="I4" s="23"/>
      <c r="J4" s="24"/>
    </row>
    <row r="5" spans="4:13" ht="14.25" customHeight="1" thickBot="1">
      <c r="D5" s="1"/>
      <c r="E5" s="1"/>
      <c r="F5" s="1"/>
      <c r="G5" s="1"/>
      <c r="I5" s="23"/>
      <c r="J5" s="24"/>
    </row>
    <row r="6" spans="4:13" ht="44.25" customHeight="1" thickBot="1">
      <c r="D6" s="44" t="s">
        <v>0</v>
      </c>
      <c r="E6" s="45" t="s">
        <v>1</v>
      </c>
      <c r="F6" s="46" t="s">
        <v>0</v>
      </c>
      <c r="G6" s="47" t="s">
        <v>1</v>
      </c>
      <c r="J6" s="20"/>
    </row>
    <row r="7" spans="4:13" ht="16.5" thickBot="1">
      <c r="D7" s="50" t="s">
        <v>2</v>
      </c>
      <c r="E7" s="29"/>
      <c r="F7" s="51" t="s">
        <v>3</v>
      </c>
      <c r="G7" s="30"/>
      <c r="I7" s="57" t="s">
        <v>12</v>
      </c>
      <c r="J7" s="58">
        <f>(G9+G8)/12</f>
        <v>1600000</v>
      </c>
      <c r="K7" s="21"/>
    </row>
    <row r="8" spans="4:13" ht="15.75" customHeight="1" thickBot="1">
      <c r="D8" s="2" t="s">
        <v>4</v>
      </c>
      <c r="E8" s="4">
        <v>500000</v>
      </c>
      <c r="F8" s="48" t="s">
        <v>19</v>
      </c>
      <c r="G8" s="49">
        <f>1600000*12</f>
        <v>19200000</v>
      </c>
      <c r="H8" s="13"/>
      <c r="I8" s="59" t="s">
        <v>13</v>
      </c>
      <c r="J8" s="60">
        <f>J7-J9</f>
        <v>1510000</v>
      </c>
      <c r="K8" s="21"/>
    </row>
    <row r="9" spans="4:13" ht="16.5" customHeight="1" thickBot="1">
      <c r="D9" s="3" t="s">
        <v>20</v>
      </c>
      <c r="E9" s="41">
        <f>G8*0.85</f>
        <v>16320000</v>
      </c>
      <c r="F9" s="38"/>
      <c r="G9" s="33"/>
      <c r="I9" s="61" t="s">
        <v>14</v>
      </c>
      <c r="J9" s="62">
        <f>E18/12</f>
        <v>90000</v>
      </c>
      <c r="K9" s="21"/>
    </row>
    <row r="10" spans="4:13" ht="16.5" thickBot="1">
      <c r="D10" s="7" t="s">
        <v>6</v>
      </c>
      <c r="E10" s="17">
        <f>G11-SUM(E8:E9)</f>
        <v>2880000</v>
      </c>
      <c r="F10" s="52" t="s">
        <v>5</v>
      </c>
      <c r="G10" s="53">
        <f>E8</f>
        <v>500000</v>
      </c>
      <c r="I10" s="59" t="s">
        <v>15</v>
      </c>
      <c r="J10" s="63">
        <f>E10/SUM(G8+G9)</f>
        <v>0.15</v>
      </c>
      <c r="K10" s="22"/>
    </row>
    <row r="11" spans="4:13" ht="16.5" thickBot="1">
      <c r="D11" s="19" t="s">
        <v>7</v>
      </c>
      <c r="E11" s="5">
        <f>SUM(E8:E10)</f>
        <v>19700000</v>
      </c>
      <c r="F11" s="55" t="s">
        <v>7</v>
      </c>
      <c r="G11" s="56">
        <f>SUM(G8:G10)</f>
        <v>19700000</v>
      </c>
      <c r="I11" s="64" t="s">
        <v>16</v>
      </c>
      <c r="J11" s="65">
        <f>E18/SUM(G8:G9)</f>
        <v>5.6250000000000001E-2</v>
      </c>
      <c r="K11" s="21"/>
    </row>
    <row r="12" spans="4:13" ht="16.5" customHeight="1">
      <c r="D12" s="18" t="s">
        <v>8</v>
      </c>
      <c r="E12" s="6"/>
      <c r="F12" s="54" t="s">
        <v>9</v>
      </c>
      <c r="G12" s="49">
        <f>E10</f>
        <v>2880000</v>
      </c>
    </row>
    <row r="13" spans="4:13" ht="16.5" customHeight="1" thickBot="1">
      <c r="D13" s="3" t="s">
        <v>18</v>
      </c>
      <c r="E13" s="41">
        <f>2000*12</f>
        <v>24000</v>
      </c>
      <c r="F13" s="54"/>
      <c r="G13" s="49"/>
    </row>
    <row r="14" spans="4:13" ht="16.5" customHeight="1" thickBot="1">
      <c r="D14" s="7" t="s">
        <v>39</v>
      </c>
      <c r="E14" s="41">
        <f>8000*12</f>
        <v>96000</v>
      </c>
      <c r="F14" s="54"/>
      <c r="G14" s="49"/>
      <c r="I14" s="85" t="s">
        <v>35</v>
      </c>
      <c r="J14" s="86"/>
      <c r="L14" s="85" t="s">
        <v>36</v>
      </c>
      <c r="M14" s="86"/>
    </row>
    <row r="15" spans="4:13" ht="16.5" customHeight="1" thickBot="1">
      <c r="D15" s="7" t="s">
        <v>37</v>
      </c>
      <c r="E15" s="41">
        <f>130000*12</f>
        <v>1560000</v>
      </c>
      <c r="F15" s="39"/>
      <c r="G15" s="34"/>
      <c r="I15" s="66" t="s">
        <v>22</v>
      </c>
      <c r="J15" s="76"/>
      <c r="L15" s="59" t="s">
        <v>22</v>
      </c>
      <c r="M15" s="80"/>
    </row>
    <row r="16" spans="4:13" ht="16.5" customHeight="1" thickBot="1">
      <c r="D16" s="3" t="s">
        <v>17</v>
      </c>
      <c r="E16" s="42">
        <f>10000*12</f>
        <v>120000</v>
      </c>
      <c r="F16" s="35"/>
      <c r="G16" s="35"/>
      <c r="I16" s="67" t="s">
        <v>23</v>
      </c>
      <c r="J16" s="76"/>
      <c r="L16" s="64" t="s">
        <v>23</v>
      </c>
      <c r="M16" s="81"/>
    </row>
    <row r="17" spans="4:22" ht="16.5" thickBot="1">
      <c r="D17" s="3"/>
      <c r="E17" s="42"/>
      <c r="F17" s="25"/>
      <c r="G17" s="35"/>
      <c r="I17" s="68" t="s">
        <v>24</v>
      </c>
      <c r="J17" s="77"/>
      <c r="L17" s="73" t="s">
        <v>24</v>
      </c>
      <c r="M17" s="77"/>
    </row>
    <row r="18" spans="4:22" ht="16.5" thickBot="1">
      <c r="D18" s="32" t="s">
        <v>10</v>
      </c>
      <c r="E18" s="43">
        <f>G19-SUM(E13:E17)</f>
        <v>1080000</v>
      </c>
      <c r="F18" s="40"/>
      <c r="G18" s="36"/>
      <c r="I18" s="68" t="s">
        <v>25</v>
      </c>
      <c r="J18" s="78"/>
      <c r="L18" s="73" t="s">
        <v>25</v>
      </c>
      <c r="M18" s="83"/>
    </row>
    <row r="19" spans="4:22" ht="16.5" thickBot="1">
      <c r="D19" s="27" t="s">
        <v>11</v>
      </c>
      <c r="E19" s="28">
        <f>G19</f>
        <v>2880000</v>
      </c>
      <c r="F19" s="37" t="s">
        <v>11</v>
      </c>
      <c r="G19" s="31">
        <f>SUM(G12:G18)</f>
        <v>2880000</v>
      </c>
      <c r="H19" s="14"/>
      <c r="I19" s="69" t="s">
        <v>26</v>
      </c>
      <c r="J19" s="79"/>
      <c r="L19" s="74" t="s">
        <v>26</v>
      </c>
      <c r="M19" s="77"/>
    </row>
    <row r="20" spans="4:22" ht="16.5" thickBot="1">
      <c r="D20" s="15"/>
      <c r="E20" s="16"/>
      <c r="F20" s="15"/>
      <c r="G20" s="16"/>
      <c r="H20" s="14"/>
      <c r="I20" s="70" t="s">
        <v>27</v>
      </c>
      <c r="J20" s="77"/>
      <c r="L20" s="75" t="s">
        <v>27</v>
      </c>
      <c r="M20" s="77"/>
    </row>
    <row r="21" spans="4:22" ht="21" thickBot="1">
      <c r="D21" s="8"/>
      <c r="E21" s="9"/>
      <c r="F21" s="9"/>
      <c r="G21" s="10"/>
      <c r="H21" s="14"/>
      <c r="I21" s="70" t="s">
        <v>28</v>
      </c>
      <c r="J21" s="77"/>
      <c r="L21" s="75" t="s">
        <v>28</v>
      </c>
      <c r="M21" s="77"/>
    </row>
    <row r="22" spans="4:22" ht="17.25" thickBot="1">
      <c r="D22" s="26" t="s">
        <v>21</v>
      </c>
      <c r="E22" s="11"/>
      <c r="F22" s="10"/>
      <c r="G22" s="10"/>
      <c r="I22" s="68" t="s">
        <v>29</v>
      </c>
      <c r="J22" s="80"/>
      <c r="L22" s="73" t="s">
        <v>29</v>
      </c>
      <c r="M22" s="78"/>
    </row>
    <row r="23" spans="4:22" ht="17.25" thickBot="1">
      <c r="D23" s="26"/>
      <c r="E23" s="11"/>
      <c r="F23" s="10"/>
      <c r="G23" s="10"/>
      <c r="I23" s="67" t="s">
        <v>30</v>
      </c>
      <c r="J23" s="83"/>
      <c r="L23" s="64" t="s">
        <v>30</v>
      </c>
      <c r="M23" s="82"/>
    </row>
    <row r="24" spans="4:22" ht="17.25" thickBot="1">
      <c r="D24" s="26"/>
      <c r="E24" s="11"/>
      <c r="F24" s="10"/>
      <c r="G24" s="10"/>
      <c r="I24" s="67" t="s">
        <v>31</v>
      </c>
      <c r="J24" s="80"/>
      <c r="L24" s="64" t="s">
        <v>31</v>
      </c>
      <c r="M24" s="81"/>
    </row>
    <row r="25" spans="4:22" ht="17.25" thickBot="1">
      <c r="D25" s="26"/>
      <c r="E25" s="11"/>
      <c r="F25" s="10"/>
      <c r="G25" s="10"/>
      <c r="I25" s="67" t="s">
        <v>32</v>
      </c>
      <c r="J25" s="80"/>
      <c r="L25" s="64" t="s">
        <v>32</v>
      </c>
      <c r="M25" s="80"/>
    </row>
    <row r="26" spans="4:22" ht="17.25" thickBot="1">
      <c r="D26" s="26"/>
      <c r="E26" s="12"/>
      <c r="F26" s="10"/>
      <c r="G26" s="10"/>
      <c r="I26" s="71" t="s">
        <v>33</v>
      </c>
      <c r="J26" s="83"/>
      <c r="L26" s="61" t="s">
        <v>33</v>
      </c>
      <c r="M26" s="82"/>
    </row>
    <row r="27" spans="4:22" ht="17.25" thickBot="1">
      <c r="D27" s="26"/>
      <c r="E27" s="11"/>
      <c r="F27" s="10"/>
      <c r="G27" s="10"/>
      <c r="I27" s="66" t="s">
        <v>34</v>
      </c>
      <c r="J27" s="80">
        <f>SUM(J15:J26)</f>
        <v>0</v>
      </c>
      <c r="L27" s="59" t="s">
        <v>34</v>
      </c>
      <c r="M27" s="80">
        <f>SUM(M15:M26)</f>
        <v>0</v>
      </c>
    </row>
    <row r="28" spans="4:22" ht="17.25" thickBot="1">
      <c r="D28" s="26"/>
      <c r="E28" s="11"/>
      <c r="F28" s="10"/>
      <c r="G28" s="10"/>
      <c r="I28" s="72"/>
      <c r="J28" s="82">
        <f>J27/12</f>
        <v>0</v>
      </c>
      <c r="K28" s="13"/>
      <c r="L28" s="72"/>
      <c r="M28" s="82">
        <f>M27/12</f>
        <v>0</v>
      </c>
    </row>
    <row r="29" spans="4:22" ht="15.75" thickBot="1">
      <c r="I29" s="67"/>
      <c r="J29" s="64"/>
      <c r="L29" s="67"/>
      <c r="M29" s="82"/>
    </row>
    <row r="30" spans="4:22">
      <c r="I30" s="13"/>
    </row>
    <row r="31" spans="4:22">
      <c r="T31">
        <f>756+295</f>
        <v>1051</v>
      </c>
    </row>
    <row r="32" spans="4:22">
      <c r="V32">
        <f>T31/12</f>
        <v>87.583333333333329</v>
      </c>
    </row>
  </sheetData>
  <mergeCells count="5">
    <mergeCell ref="D2:G2"/>
    <mergeCell ref="D3:G3"/>
    <mergeCell ref="D4:G4"/>
    <mergeCell ref="I14:J14"/>
    <mergeCell ref="L14:M14"/>
  </mergeCells>
  <pageMargins left="0.7" right="0.7" top="0.75" bottom="0.75" header="0.3" footer="0.3"/>
  <pageSetup paperSize="9" scale="5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Sheet3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win98</dc:creator>
  <cp:lastModifiedBy>RAVI VARMA</cp:lastModifiedBy>
  <cp:lastPrinted>2021-10-28T12:23:44Z</cp:lastPrinted>
  <dcterms:created xsi:type="dcterms:W3CDTF">2004-10-06T10:01:00Z</dcterms:created>
  <dcterms:modified xsi:type="dcterms:W3CDTF">2025-06-20T06:32:44Z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1B8ADD9ECBE4497BAC835A9FCD53C7B2</vt:lpwstr>
  </property>
  <property fmtid="{D5CDD505-2E9C-101B-9397-08002B2CF9AE}" pid="3" name="KSOProductBuildVer">
    <vt:lpwstr>1033-11.2.0.10323</vt:lpwstr>
  </property>
</Properties>
</file>